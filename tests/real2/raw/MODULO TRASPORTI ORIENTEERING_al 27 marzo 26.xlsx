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sktop/busplan/tests/real2/"/>
    </mc:Choice>
  </mc:AlternateContent>
  <xr:revisionPtr revIDLastSave="0" documentId="13_ncr:1_{85E9FB74-3FBF-3B4D-ADEA-DBB36E8EBD5F}" xr6:coauthVersionLast="47" xr6:coauthVersionMax="47" xr10:uidLastSave="{00000000-0000-0000-0000-000000000000}"/>
  <bookViews>
    <workbookView xWindow="0" yWindow="500" windowWidth="28800" windowHeight="13180" tabRatio="500" xr2:uid="{00000000-000D-0000-FFFF-FFFF00000000}"/>
  </bookViews>
  <sheets>
    <sheet name="Risposte del modul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V43" i="1" l="1"/>
  <c r="V6" i="1"/>
</calcChain>
</file>

<file path=xl/sharedStrings.xml><?xml version="1.0" encoding="utf-8"?>
<sst xmlns="http://schemas.openxmlformats.org/spreadsheetml/2006/main" count="746" uniqueCount="377">
  <si>
    <t>Informazioni cronologiche</t>
  </si>
  <si>
    <t>Indirizzo email</t>
  </si>
  <si>
    <t>Column 30</t>
  </si>
  <si>
    <t>Nome istituto - Primo grado</t>
  </si>
  <si>
    <t>Nome istituto secondo grado</t>
  </si>
  <si>
    <t>MEDIE</t>
  </si>
  <si>
    <t>SUPERIORI</t>
  </si>
  <si>
    <t>Ragazze 
Selected</t>
  </si>
  <si>
    <t xml:space="preserve">Ragazzi 
Selected </t>
  </si>
  <si>
    <t>Cadette 
School</t>
  </si>
  <si>
    <t>Cadetti 
School</t>
  </si>
  <si>
    <t>Cadette  
Selected</t>
  </si>
  <si>
    <t xml:space="preserve">Cadetti   
Selected </t>
  </si>
  <si>
    <t>Allieve 
School</t>
  </si>
  <si>
    <t>Allievi 
School</t>
  </si>
  <si>
    <t>Allieve 
Selected</t>
  </si>
  <si>
    <t xml:space="preserve">Allievi 
Selected </t>
  </si>
  <si>
    <t xml:space="preserve">Juniores F 
Selected </t>
  </si>
  <si>
    <t xml:space="preserve">Juniores M
 Selected </t>
  </si>
  <si>
    <t>Trail- O</t>
  </si>
  <si>
    <t>docenti</t>
  </si>
  <si>
    <t>PRESENZE</t>
  </si>
  <si>
    <t>Note aggiuntive</t>
  </si>
  <si>
    <t>Indicare eventuale punto di ritrovo diverso dalle sedi scolastiche.
(Es.:  Fermata Bus "XXX" , Via ... , Comune ....)</t>
  </si>
  <si>
    <t>km</t>
  </si>
  <si>
    <t>tempo</t>
  </si>
  <si>
    <t xml:space="preserve">COGNOME Docente di riferimento per manifestazione  </t>
  </si>
  <si>
    <t>NOME Docente di riferimento per manifestazione</t>
  </si>
  <si>
    <t>N° CELLULARE Docente di riferimento per manifestazione</t>
  </si>
  <si>
    <t>E-MAIL Docente di riferimento per manifestazione</t>
  </si>
  <si>
    <t xml:space="preserve">E-MAIL segreteria </t>
  </si>
  <si>
    <t>Numero telefono segreteria</t>
  </si>
  <si>
    <t>silvia.costanzi@scuole.provincia.tn.it</t>
  </si>
  <si>
    <t>IC Alta Val di Sole</t>
  </si>
  <si>
    <t>OSSANA Via S Michele, 11</t>
  </si>
  <si>
    <t>COSTANZI</t>
  </si>
  <si>
    <t>SILVIA</t>
  </si>
  <si>
    <t>segr.icaltavaldisole@scuole.provincia.tn.it</t>
  </si>
  <si>
    <t>0463751129</t>
  </si>
  <si>
    <t>lara.maccarinelli@scuole.provincia.tn.it</t>
  </si>
  <si>
    <t>IC Altopiano di Pinè</t>
  </si>
  <si>
    <t>BASELGA DI PINE' Via del XXVI Maggio - Baselga, 6</t>
  </si>
  <si>
    <t>Noi raggiungeremo il luogo della manifestazione a piedi, quindi non abbiamo bisogno del trasporto. Grazie</t>
  </si>
  <si>
    <t>autonomia</t>
  </si>
  <si>
    <t>Maccarinelli</t>
  </si>
  <si>
    <t>Lara</t>
  </si>
  <si>
    <t>347-8919762</t>
  </si>
  <si>
    <t xml:space="preserve">segr.ic.altopianodipine@scuole.provincia.tn.it </t>
  </si>
  <si>
    <t>0461-557138</t>
  </si>
  <si>
    <t>mattia.vicenzi@scuole.provincia.tn.it</t>
  </si>
  <si>
    <t>IC Cembra</t>
  </si>
  <si>
    <t>CEMBRA LISIGNAGO Via Negritelle - Cembra, 1, GIOVO Via Al Grec, 2, SEGONZANO Frazione Scancio, 69</t>
  </si>
  <si>
    <t xml:space="preserve">Abbiamo inserito il terzo docente accompagnatore perché uno degli alunni è certificato e pur non avendo problemi fisici, può quindi partecipare normalmente alla gara, necessita di esser seguito personalmente durante il resto della giornata. </t>
  </si>
  <si>
    <t>Vicenzi</t>
  </si>
  <si>
    <t>Mattia</t>
  </si>
  <si>
    <t>Mattia.vicenzi@scuole.provincia.tn.it</t>
  </si>
  <si>
    <t>Segr.cembra@scuole.provincia.tn.it</t>
  </si>
  <si>
    <t>0461683006</t>
  </si>
  <si>
    <t>alessio.radice@scuole.provincia.tn.it</t>
  </si>
  <si>
    <t>IC Centro Valsugana</t>
  </si>
  <si>
    <t>RONCEGNO TERME Via Don Meggio, 2/A, TELVE Via Borgo, 2/A</t>
  </si>
  <si>
    <t>Piazza Maggiore, Telve - Fermata "Picchio", Roncegno</t>
  </si>
  <si>
    <t>RADICE</t>
  </si>
  <si>
    <t>ALESSIO</t>
  </si>
  <si>
    <t>segr.ic.centrovalsugana@scuole.provincia.tn.it</t>
  </si>
  <si>
    <t>0461764581</t>
  </si>
  <si>
    <t>segr.i.c.civezzano@scuole.provincia.tn.it</t>
  </si>
  <si>
    <t>IC Civezzano</t>
  </si>
  <si>
    <t>CIVEZZANO Via Murialdo, 27</t>
  </si>
  <si>
    <t>X</t>
  </si>
  <si>
    <t>Agosti</t>
  </si>
  <si>
    <t>Pierfrancesco</t>
  </si>
  <si>
    <t>pierfrancesco.agosti@scuole.provincia.tn.it</t>
  </si>
  <si>
    <t>0461858485</t>
  </si>
  <si>
    <t>segr.ic.pontearche@scuole.provincia.tn.it</t>
  </si>
  <si>
    <t>IC Giudicarie Esteriori</t>
  </si>
  <si>
    <t>COMANO TERME Via S Giovanni Bosco - Ponte Arche - Bleggio Inferiore, 14</t>
  </si>
  <si>
    <t>Via S.Giovanni Bosco, 14 - 38077 Comano terme (TN)</t>
  </si>
  <si>
    <t>Andreasi</t>
  </si>
  <si>
    <t xml:space="preserve">Cristina </t>
  </si>
  <si>
    <t>cristina.andreasi@giudicariescuola.it</t>
  </si>
  <si>
    <t>0465701472</t>
  </si>
  <si>
    <t>dalmonech.damiano@icmezzolombardopaganella.it</t>
  </si>
  <si>
    <t>IC Mezzolombardo-Paganella</t>
  </si>
  <si>
    <t>ANDALO Piazza S Vito, 1</t>
  </si>
  <si>
    <t>Tenaglia</t>
  </si>
  <si>
    <t>Cristina</t>
  </si>
  <si>
    <t>tenaglia.cristina@icmezzolombardopaganella.it</t>
  </si>
  <si>
    <t xml:space="preserve"> segr.ic.mezzolombardo@scuole.provincia.tn.it</t>
  </si>
  <si>
    <t>0461601125</t>
  </si>
  <si>
    <t>silvia.slaifer@scuole.provincia.tn.it</t>
  </si>
  <si>
    <t>IC Mori</t>
  </si>
  <si>
    <t>MORI Via Giovanni XXIII, 64</t>
  </si>
  <si>
    <t>/</t>
  </si>
  <si>
    <t>Slaifer</t>
  </si>
  <si>
    <t>Silvia</t>
  </si>
  <si>
    <t>segr.ic.mori@scuole.provincia.tn.it</t>
  </si>
  <si>
    <t>0464 918669</t>
  </si>
  <si>
    <t>segr.icprimiero@scuole.provincia.tn.it</t>
  </si>
  <si>
    <t>IC Primiero</t>
  </si>
  <si>
    <t>PRIMIERO SAN MARTINO DI CASTROZZA Viale Monte Grappa - Fiera di Primiero, 12</t>
  </si>
  <si>
    <t>QUESTA E' LA SECONDA RICHIESTA, ED IL TRASPORTO X MEDIE FIERA HA UN TOTALE DI 26 PASSEGGERI (NON 34, COME IL PRIMO MODULO).</t>
  </si>
  <si>
    <t>Partenza e ritorno dalla Stazione Trentino Trasporti di fiera di Primiero, via Dante</t>
  </si>
  <si>
    <t>GADENZ</t>
  </si>
  <si>
    <t>MARCO</t>
  </si>
  <si>
    <t>333 6745135</t>
  </si>
  <si>
    <t>marco.gadenz@scuole.provincia.tn.it</t>
  </si>
  <si>
    <t>0439 62435</t>
  </si>
  <si>
    <t>samuele.tait@ictrento3.it</t>
  </si>
  <si>
    <t>IC Trento 3</t>
  </si>
  <si>
    <t>TRENTO Via Vittorio Veneto, 61</t>
  </si>
  <si>
    <t>Tait</t>
  </si>
  <si>
    <t>Samuele</t>
  </si>
  <si>
    <t>segr.ic.tn3@scuole.provincia.tn.it</t>
  </si>
  <si>
    <t>0461 1825610</t>
  </si>
  <si>
    <t>segr.ic.tn6@scuole.provincia.tn.it</t>
  </si>
  <si>
    <t>IC Trento 6</t>
  </si>
  <si>
    <t>TRENTO Corso Buonarroti, 50</t>
  </si>
  <si>
    <t>TRENTI</t>
  </si>
  <si>
    <t>CLAUDIO</t>
  </si>
  <si>
    <t>CLAUDIO.TRENTI@SCUOLE.PROVINCIA.TN.IT</t>
  </si>
  <si>
    <t>0461236214</t>
  </si>
  <si>
    <t>michele.bais@scuole.provincia.tn.it</t>
  </si>
  <si>
    <t>IC Trento 7</t>
  </si>
  <si>
    <t>TRENTO Via IV Novembre, 35/1</t>
  </si>
  <si>
    <t>Tieri</t>
  </si>
  <si>
    <t>Anna</t>
  </si>
  <si>
    <t>349 166 0525</t>
  </si>
  <si>
    <t>Anna.tieri@trento7.it</t>
  </si>
  <si>
    <t>Segreteria.studenti@trento7.it</t>
  </si>
  <si>
    <t>0461 990287</t>
  </si>
  <si>
    <t>eleonora.pellizzari@scuole.provincia.tn.it</t>
  </si>
  <si>
    <t>IC Val Rendena</t>
  </si>
  <si>
    <t>PINZOLO Via Collini Borciol, 18, SPIAZZO Frazione Fisto,  112</t>
  </si>
  <si>
    <t>Tre fermate: Madonna di Campiglio (piazzale Brenta), Pinzolo e Spiazzo (a scuola).</t>
  </si>
  <si>
    <t>MADONNA DI CAMPIGLIO, Piazzale Brenta, Loc. Palù</t>
  </si>
  <si>
    <t>PELLIZZARI</t>
  </si>
  <si>
    <t>ELEONORA</t>
  </si>
  <si>
    <t>segr.ic.valrendena@scuole.provincia.tn.it</t>
  </si>
  <si>
    <t>0465501139</t>
  </si>
  <si>
    <t>emilioperco@icvalledeilaghidro.it</t>
  </si>
  <si>
    <t>IC Valle dei Laghi-Dro</t>
  </si>
  <si>
    <t>VALLELAGHI Via Roma - Vezzano, 3</t>
  </si>
  <si>
    <t>Perco</t>
  </si>
  <si>
    <t>Emilio</t>
  </si>
  <si>
    <t>segr.icvalledeilaghidro@scuole.provincia.tn.it</t>
  </si>
  <si>
    <t>0461864026</t>
  </si>
  <si>
    <t>michael.broemsen@scuole.provincia.tn.it</t>
  </si>
  <si>
    <t>IC Valle di Ledro</t>
  </si>
  <si>
    <t>LEDRO Via Falcone e Borsellino - Bezzecca, 2</t>
  </si>
  <si>
    <t>Broemsen</t>
  </si>
  <si>
    <t>Michael</t>
  </si>
  <si>
    <t xml:space="preserve">michael.broemsen@scuole.provincia.tn.it </t>
  </si>
  <si>
    <t>segr.ic.bezzecca@scuole.provincia.tn.it</t>
  </si>
  <si>
    <t>0464 592800</t>
  </si>
  <si>
    <t>carla.soriani@scuole.provincia.tn.it</t>
  </si>
  <si>
    <t>IC Vigolo Vattaro</t>
  </si>
  <si>
    <t>ALTOPIANO DELLA VIGOLANA Via Garibaldi - Vigolo Vattaro, 8</t>
  </si>
  <si>
    <t>fermata bus Vigolo Vattaro</t>
  </si>
  <si>
    <t xml:space="preserve"> Soriani</t>
  </si>
  <si>
    <t>Carla</t>
  </si>
  <si>
    <t>349 8412657</t>
  </si>
  <si>
    <t>segr.vigolo vattaro@scuole.provincia.tn.it</t>
  </si>
  <si>
    <t>0461 848878</t>
  </si>
  <si>
    <t>alessandra.tonelli@linguisticotrento.it</t>
  </si>
  <si>
    <t>IS Trento Linguistico Scholl</t>
  </si>
  <si>
    <t>TRENTO Via Madruzzo, 24, TRENTO Via Malfatti, 2, TRENTO Via Mattioli, 8, TRENTO Via Monsignor Endrici, 23</t>
  </si>
  <si>
    <t>Tonelli</t>
  </si>
  <si>
    <t>Alessandra</t>
  </si>
  <si>
    <t>segr.linguisticotrento@scuole.provincia.tn.it</t>
  </si>
  <si>
    <t>0461 914499</t>
  </si>
  <si>
    <t>william.rosso@istitutoadegasperi.it</t>
  </si>
  <si>
    <t>IS Borgo Valsugana Degasperi</t>
  </si>
  <si>
    <t>NON TROVO L'INDIRIZZO</t>
  </si>
  <si>
    <t>Stazione autocorriere Borgo Est</t>
  </si>
  <si>
    <t>Rosso</t>
  </si>
  <si>
    <t>William</t>
  </si>
  <si>
    <t>328/3866116</t>
  </si>
  <si>
    <t>segr.istalcidedegasperi@scuole.provincia.tn.it</t>
  </si>
  <si>
    <t>0461/753647</t>
  </si>
  <si>
    <t>anna.tomasi@fmach.it</t>
  </si>
  <si>
    <t>IS San Michele Agrario</t>
  </si>
  <si>
    <t>SAN MICHELE ALL'ADIGE Via Mach, 1</t>
  </si>
  <si>
    <t>Ritrovo alla rotonda di fronte alla coperativa dove c'è anche la fermata del bus di linea</t>
  </si>
  <si>
    <t>Tomasi</t>
  </si>
  <si>
    <t>segreteria.scuola@fmach.it</t>
  </si>
  <si>
    <t>0461615213</t>
  </si>
  <si>
    <t>roberto.cartograph@gmail.com</t>
  </si>
  <si>
    <t>IS Primiero ENAIP</t>
  </si>
  <si>
    <t>PRIMIERO SAN MARTINO DI CASTROZZA Via Forno - Transacqua, 12</t>
  </si>
  <si>
    <t>stazione autocorriere fiera di primiero</t>
  </si>
  <si>
    <t>PRADEL</t>
  </si>
  <si>
    <t>ROBERTO</t>
  </si>
  <si>
    <t>340 8553022</t>
  </si>
  <si>
    <t xml:space="preserve">cfp.primiero@enaip.tn.it </t>
  </si>
  <si>
    <t>0439 762057</t>
  </si>
  <si>
    <t>sport@martinomartini.eu</t>
  </si>
  <si>
    <t>IS Mezzolombardo Martini</t>
  </si>
  <si>
    <t>MEZZOLOMBARDO Via Perlasca, 4</t>
  </si>
  <si>
    <t>SANTUARI</t>
  </si>
  <si>
    <t>NICOLAS</t>
  </si>
  <si>
    <t>nicolas.santuari@martinomartini.eu</t>
  </si>
  <si>
    <t>0461601122</t>
  </si>
  <si>
    <t>uff.progetti@marconirovereto.it</t>
  </si>
  <si>
    <t>IS Rovereto Marconi</t>
  </si>
  <si>
    <t>ROVERETO Via Monti, 1</t>
  </si>
  <si>
    <t>Brusco</t>
  </si>
  <si>
    <t>Monica</t>
  </si>
  <si>
    <t>monica.brusco@marconirovereto.it</t>
  </si>
  <si>
    <t>0464411400</t>
  </si>
  <si>
    <t>andrea.andreatta@lsgalilei.org</t>
  </si>
  <si>
    <t>IS Trento Galilei</t>
  </si>
  <si>
    <t>TRENTO Viale Bolognini, 88</t>
  </si>
  <si>
    <t>Piazza Vicenza fermata autobus</t>
  </si>
  <si>
    <t>Andreatta</t>
  </si>
  <si>
    <t>Andrea</t>
  </si>
  <si>
    <t>segr.liceogalilei@scuole.provincia.tn.it</t>
  </si>
  <si>
    <t>0461 913479</t>
  </si>
  <si>
    <t>cfp.tione@enaip.tn.it</t>
  </si>
  <si>
    <t>IS Tione ENAIP</t>
  </si>
  <si>
    <t>TIONE DI TRENTO Via Durone, 57</t>
  </si>
  <si>
    <t>MELZANI</t>
  </si>
  <si>
    <t>MIRKO</t>
  </si>
  <si>
    <t>mirko.melzani@enaip.tn.it</t>
  </si>
  <si>
    <t>0465321316</t>
  </si>
  <si>
    <t>IS Primiero</t>
  </si>
  <si>
    <t>PRIMIERO SAN MARTINO DI CASTROZZA Via Delle Fonti - Transacqua, 10</t>
  </si>
  <si>
    <t>TAPPA SIA PER ANDATA CHE RITORNO IN loc. Ponte Serra fermata Trentino Trasporti (Lamon-BL)</t>
  </si>
  <si>
    <t>PARTENZA E RIENTRO DALLA FERMATA TRENTINO TRASPORTI DI FIERA DI PRIMIERO, VIA DANTE</t>
  </si>
  <si>
    <t xml:space="preserve">SCALET </t>
  </si>
  <si>
    <t>ALESSIA</t>
  </si>
  <si>
    <t>329 6311663</t>
  </si>
  <si>
    <t>alessia.scalet@scuole.provincia.tn.it</t>
  </si>
  <si>
    <t>enrico.valentini@istitutopilati.it</t>
  </si>
  <si>
    <t>IS Cles Pilati</t>
  </si>
  <si>
    <t>CLES Via IV Novembre, 35</t>
  </si>
  <si>
    <t>Malalan</t>
  </si>
  <si>
    <t>Giuliana</t>
  </si>
  <si>
    <t>giuliana.malalan@istitutopilati.it</t>
  </si>
  <si>
    <t>segr.itetpilati@scuole.provincia.tn.it</t>
  </si>
  <si>
    <t>0463 421695</t>
  </si>
  <si>
    <t>annapia.baldo@rosmini.eu</t>
  </si>
  <si>
    <t>IS Trento Rosmini</t>
  </si>
  <si>
    <t>Corso 3 Novembre 1918 n. 152 Fermata autobus ( Ponte Cavaleggeri) Trento</t>
  </si>
  <si>
    <t xml:space="preserve">BALDO </t>
  </si>
  <si>
    <t>ANNAPIA</t>
  </si>
  <si>
    <t>annalina@rosmini.eu</t>
  </si>
  <si>
    <t>0461914400</t>
  </si>
  <si>
    <t>marisa.dallabetta@liceodellearti.tn.it</t>
  </si>
  <si>
    <t>IS Trento Vittoria-Bonporti</t>
  </si>
  <si>
    <t>TRENTO Via Zambra, 3</t>
  </si>
  <si>
    <t>RAGAZZO IN SEDIA A ROTELLE, CHIEDO CORTESEMENTE LA PARTENZA DA VIA ZAMBRA,3 GRAZIE</t>
  </si>
  <si>
    <t>DALLABETTA</t>
  </si>
  <si>
    <t>MARISA</t>
  </si>
  <si>
    <t>info@liceodellearti.tn.it</t>
  </si>
  <si>
    <t>0461824422</t>
  </si>
  <si>
    <t>maurizio.vicentini@curiepergine.it</t>
  </si>
  <si>
    <t>IS Pergine Valsugana Curie</t>
  </si>
  <si>
    <t>PERGINE VALSUGANA Via S. Pietro, 4</t>
  </si>
  <si>
    <t>Piazza Gavazzi Pergine</t>
  </si>
  <si>
    <t>Vicentini</t>
  </si>
  <si>
    <t>Maurizio</t>
  </si>
  <si>
    <t>uff.didattica@curiepergine.it</t>
  </si>
  <si>
    <t>0461511397</t>
  </si>
  <si>
    <t>elisa.mazzurana@liceodavincitn.it</t>
  </si>
  <si>
    <t>IS Trento Da Vinci</t>
  </si>
  <si>
    <t>TRENTO Via Madruzzo, 24</t>
  </si>
  <si>
    <t>Via Giusti 2 (fermata bus zona cimitero)</t>
  </si>
  <si>
    <t xml:space="preserve">Mazzurana </t>
  </si>
  <si>
    <t>Elisa</t>
  </si>
  <si>
    <t>segr.liceodavinci@scuole.provincia.tn.it</t>
  </si>
  <si>
    <t xml:space="preserve">0461 984099 </t>
  </si>
  <si>
    <t>cristiana.martinelli@scuole.provincia.tn.it</t>
  </si>
  <si>
    <t>IC Aldeno-Mattarello</t>
  </si>
  <si>
    <t>ALDENO Via Alle Albere, 1, TRENTO Via Della Torre Franca, 1</t>
  </si>
  <si>
    <t>Aldeno via Filzi fermata corriere.   Mattarello Fermata sopra al parco via Torre Franca</t>
  </si>
  <si>
    <t>Martinelli</t>
  </si>
  <si>
    <t xml:space="preserve">Cristiana </t>
  </si>
  <si>
    <t>segr.aldeno.mattarello#scuole.privincusmtn.it</t>
  </si>
  <si>
    <t>0461945237</t>
  </si>
  <si>
    <t>segreteria@sdbmezzano.it</t>
  </si>
  <si>
    <t>IC Mezzano Santa Croce</t>
  </si>
  <si>
    <t>MEZZANO Via Molaren, 29</t>
  </si>
  <si>
    <t>Mezzano, Via Molaren 29</t>
  </si>
  <si>
    <t>PEROTTO</t>
  </si>
  <si>
    <t>FRANCESCO</t>
  </si>
  <si>
    <t>francesco.perotto@sdbmezzano.it</t>
  </si>
  <si>
    <t>0439762019</t>
  </si>
  <si>
    <t>roberto.vinante@docenti.operaarmidabarelli.org</t>
  </si>
  <si>
    <t>IS Levico Terme Barelli</t>
  </si>
  <si>
    <t>LEVICO TERME Viale Roma, 61</t>
  </si>
  <si>
    <t>VINANTE</t>
  </si>
  <si>
    <t>cfplevico@operaarmidabarelli.org</t>
  </si>
  <si>
    <t>0461706145</t>
  </si>
  <si>
    <t>michele.dematte@scuole.provincia.tn.it</t>
  </si>
  <si>
    <t>IC Levico Terme</t>
  </si>
  <si>
    <t>LEVICO TERME Via della Pace, 5</t>
  </si>
  <si>
    <t>pullman con pedana per carrozzina</t>
  </si>
  <si>
    <t xml:space="preserve">Demattè </t>
  </si>
  <si>
    <t>Michele</t>
  </si>
  <si>
    <t>amministrazione.ic.levico@scuole.provincia.tn.it</t>
  </si>
  <si>
    <t>0461706146</t>
  </si>
  <si>
    <t>virginia.pizzarotti@rosabianca.tn.it</t>
  </si>
  <si>
    <t>IS Cavalese Rosa Bianca</t>
  </si>
  <si>
    <t>CAVALESE Corso Degasperi, 14, PREDAZZO Corso Degasperi, 14</t>
  </si>
  <si>
    <t xml:space="preserve">Pizzarotti </t>
  </si>
  <si>
    <t xml:space="preserve">Virginia </t>
  </si>
  <si>
    <t>Virginia.pizzarotti@rosabianca.tn.it</t>
  </si>
  <si>
    <t>segr.iicavalese@scuole.provincia.tn.it</t>
  </si>
  <si>
    <t>0462341449</t>
  </si>
  <si>
    <t>pallaoro.lucacogi@gmail.com</t>
  </si>
  <si>
    <t>IS Tesero ENAIP</t>
  </si>
  <si>
    <t>TESERO Via Caltrezza, 13</t>
  </si>
  <si>
    <t xml:space="preserve">Luca Pallaoro </t>
  </si>
  <si>
    <t>389 9490875</t>
  </si>
  <si>
    <t>cfp.tesro@enaip.tn.it</t>
  </si>
  <si>
    <t>0462 813133</t>
  </si>
  <si>
    <t>marco.benedetti@liceorosmini.eu</t>
  </si>
  <si>
    <t>IS Rovereto Rosmini</t>
  </si>
  <si>
    <t>ROVERETO Corso Bettini, 86</t>
  </si>
  <si>
    <t>Numero studenti da confermare nella giornata di martedì 31.03.2026</t>
  </si>
  <si>
    <t>Via Piomarta (Palazzetto dello Sport Palamarchetti) Rovereto</t>
  </si>
  <si>
    <t xml:space="preserve">BENEDETTI </t>
  </si>
  <si>
    <t>328-9344204</t>
  </si>
  <si>
    <t>segreteria.viaggi@liceorosmini.eu</t>
  </si>
  <si>
    <t>0464-437700</t>
  </si>
  <si>
    <t>IC</t>
  </si>
  <si>
    <t>IS</t>
  </si>
  <si>
    <t>INDIRIZZO IC</t>
  </si>
  <si>
    <t>INDIRIZZO IS</t>
  </si>
  <si>
    <t>TOT</t>
  </si>
  <si>
    <t>FERMATE BUS</t>
  </si>
  <si>
    <t>in autonomia</t>
  </si>
  <si>
    <t>IN AUTONOMIA</t>
  </si>
  <si>
    <t>ABBINAMENTI PULLMAN</t>
  </si>
  <si>
    <t>TUTTI IN VIA VITTORIO VENETO 61</t>
  </si>
  <si>
    <t>Corso 3 Novembre 1918 n. 152 
Fermata autobus ( Ponte Cavaleggeri) Trento</t>
  </si>
  <si>
    <t>RAGAZZO IN SEDIA A ROTELLE, 
CHIEDO CORTESEMENTE LA 
PARTENZA DA VIA ZAMBRA,3 GRAZIE</t>
  </si>
  <si>
    <t>Trento, Park ex Italcementi</t>
  </si>
  <si>
    <t>Trento, Piazza Vicenza fermata autobus</t>
  </si>
  <si>
    <t>34+27</t>
  </si>
  <si>
    <t>TRENTO Via Madruzzo, 24, 
TRENTO Via Malfatti, 2, 
TRENTO Via Mattioli, 8, 
TRENTO Via Monsignor Endrici, 23</t>
  </si>
  <si>
    <t xml:space="preserve">Fiera di Primiero, via Dante,  Stazione Trentino Trasporti </t>
  </si>
  <si>
    <t>4+1,28</t>
  </si>
  <si>
    <t>SAN MARTINO DI CASTROZZA Via Forno - Transacqua, 12</t>
  </si>
  <si>
    <t>5+25+48+23</t>
  </si>
  <si>
    <t xml:space="preserve">2, Fiera di Primiero, Via Dante
1,  loc. Ponte Serra fermata Trentino Trasporti (Lamon-BL)
</t>
  </si>
  <si>
    <t>TAPPA A/R in loc. Ponte Serra
fermata Trentino Trasporti (Lamon-BL)</t>
  </si>
  <si>
    <t>1, TELVE, Piazza Maggiore
3, RONCEGNO TERME, Fermata "Il Picchio"</t>
  </si>
  <si>
    <t>6+9+32</t>
  </si>
  <si>
    <t>2, Stazione autocorriere Borgo Est</t>
  </si>
  <si>
    <t>15+15</t>
  </si>
  <si>
    <t>Pergine, Piazza Gavazzi</t>
  </si>
  <si>
    <t>34+54</t>
  </si>
  <si>
    <t xml:space="preserve">San Michele all'Adige, fermata bus di linea alla rotonda (coperativa)a </t>
  </si>
  <si>
    <t>22+26</t>
  </si>
  <si>
    <t>CEMBRA - LISIGNAGO Via Negritelle - Cembra, 1, 
GIOVO Via Al Grec, 2, 
SEGONZANO Frazione Scancio, 69</t>
  </si>
  <si>
    <t>25+37</t>
  </si>
  <si>
    <t>IS Mezzolombardo Martini *- Students staff</t>
  </si>
  <si>
    <t xml:space="preserve">Picciotto </t>
  </si>
  <si>
    <t>Simone</t>
  </si>
  <si>
    <t>347 32 44456</t>
  </si>
  <si>
    <t>simone.picciotto@martinomartin.eu</t>
  </si>
  <si>
    <t>23+13+25</t>
  </si>
  <si>
    <t>Aldeno via Filzi fermata corriere.   
Mattarello Fermata sopra al parco via Torre Franca</t>
  </si>
  <si>
    <t>TRENTO, Via IV Novembre, 35/1</t>
  </si>
  <si>
    <t>ROVERETO, Via Piomarta, park Palazzetto Sport</t>
  </si>
  <si>
    <t>4+41</t>
  </si>
  <si>
    <t>MADONNA DI CAMPIGLIO, Piazzale Brenta, Loc. Palù
PINZOLO Via Collini Borciol, 18, 
SPIAZZO Frazione Fisto,  112</t>
  </si>
  <si>
    <t>19+9+10+1,06ù</t>
  </si>
  <si>
    <t>CAVALESE Corso Degasperi, 14,
 PREDAZZO Corso Degasperi, 14</t>
  </si>
  <si>
    <t>1, CAVALESE Corso Degasperi, 14,
2, PREDAZZO Corso Degasperi, 14</t>
  </si>
  <si>
    <t>15+10+44</t>
  </si>
  <si>
    <t>3, TESERO Via Caltrezza, 13</t>
  </si>
  <si>
    <t xml:space="preserve"> </t>
  </si>
  <si>
    <t>Vigolo Vattaro, Via Garibaldi 8 - fermata bus</t>
  </si>
  <si>
    <t>53+32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</si>
</sst>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1" x14ac:knownFonts="1">
    <font>
      <sz val="10"/>
      <color rgb="FF000000"/>
      <name val="Arial"/>
      <charset val="1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sz val="9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sz val="1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000000"/>
      <name val="Arial"/>
      <family val="2"/>
    </font>
    <font>
      <sz val="11"/>
      <color rgb="FF434343"/>
      <name val="Roboto"/>
      <charset val="1"/>
    </font>
    <font>
      <b/>
      <sz val="9"/>
      <color rgb="FF434343"/>
      <name val="Roboto"/>
      <charset val="1"/>
    </font>
    <font>
      <b/>
      <sz val="12"/>
      <color rgb="FF434343"/>
      <name val="Roboto"/>
      <charset val="1"/>
    </font>
    <font>
      <b/>
      <sz val="11"/>
      <color rgb="FFFF0000"/>
      <name val="Arial"/>
      <family val="2"/>
    </font>
    <font>
      <sz val="11"/>
      <color rgb="FFFF9900"/>
      <name val="Arial"/>
      <family val="2"/>
    </font>
    <font>
      <sz val="9"/>
      <color rgb="FFFF9900"/>
      <name val="Arial"/>
      <family val="2"/>
    </font>
    <font>
      <b/>
      <i/>
      <sz val="9"/>
      <color rgb="FF000000"/>
      <name val="Arial"/>
      <family val="2"/>
    </font>
    <font>
      <b/>
      <sz val="9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EAD1DC"/>
        <bgColor rgb="FFFCE5CD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93C47D"/>
        <bgColor rgb="FF969696"/>
      </patternFill>
    </fill>
    <fill>
      <patternFill patternType="solid">
        <fgColor rgb="FF00FF00"/>
        <bgColor rgb="FF33CCCC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EAD1DC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</fills>
  <borders count="4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/>
    <xf numFmtId="164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/>
    <xf numFmtId="164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5" borderId="0" xfId="0" applyFont="1" applyFill="1"/>
    <xf numFmtId="164" fontId="1" fillId="6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6" borderId="0" xfId="0" applyFont="1" applyFill="1"/>
    <xf numFmtId="164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/>
    <xf numFmtId="164" fontId="1" fillId="8" borderId="0" xfId="0" applyNumberFormat="1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1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" fillId="8" borderId="0" xfId="0" applyFont="1" applyFill="1"/>
    <xf numFmtId="164" fontId="1" fillId="9" borderId="0" xfId="0" applyNumberFormat="1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1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9" borderId="0" xfId="0" applyFont="1" applyFill="1"/>
    <xf numFmtId="164" fontId="6" fillId="5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5" borderId="0" xfId="0" applyFont="1" applyFill="1"/>
    <xf numFmtId="164" fontId="6" fillId="4" borderId="0" xfId="0" applyNumberFormat="1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4" borderId="0" xfId="0" applyFont="1" applyFill="1"/>
    <xf numFmtId="0" fontId="9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5" fillId="10" borderId="0" xfId="0" applyNumberFormat="1" applyFont="1" applyFill="1"/>
    <xf numFmtId="0" fontId="5" fillId="10" borderId="0" xfId="0" applyFont="1" applyFill="1"/>
    <xf numFmtId="0" fontId="5" fillId="10" borderId="0" xfId="0" applyFont="1" applyFill="1" applyAlignment="1">
      <alignment horizontal="left"/>
    </xf>
    <xf numFmtId="0" fontId="5" fillId="10" borderId="0" xfId="0" applyFont="1" applyFill="1" applyAlignment="1">
      <alignment horizontal="center"/>
    </xf>
    <xf numFmtId="0" fontId="10" fillId="4" borderId="0" xfId="0" applyFont="1" applyFill="1"/>
    <xf numFmtId="0" fontId="2" fillId="4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4" fontId="1" fillId="0" borderId="0" xfId="0" applyNumberFormat="1" applyFont="1"/>
    <xf numFmtId="0" fontId="1" fillId="0" borderId="0" xfId="0" applyFont="1"/>
    <xf numFmtId="0" fontId="5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1" fillId="11" borderId="0" xfId="0" applyNumberFormat="1" applyFont="1" applyFill="1"/>
    <xf numFmtId="0" fontId="1" fillId="11" borderId="0" xfId="0" applyFont="1" applyFill="1"/>
    <xf numFmtId="0" fontId="2" fillId="11" borderId="0" xfId="0" applyFont="1" applyFill="1"/>
    <xf numFmtId="0" fontId="1" fillId="11" borderId="0" xfId="0" applyFont="1" applyFill="1" applyAlignment="1">
      <alignment horizontal="left"/>
    </xf>
    <xf numFmtId="0" fontId="1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164" fontId="1" fillId="12" borderId="0" xfId="0" applyNumberFormat="1" applyFont="1" applyFill="1"/>
    <xf numFmtId="0" fontId="1" fillId="12" borderId="0" xfId="0" applyFont="1" applyFill="1"/>
    <xf numFmtId="0" fontId="5" fillId="12" borderId="0" xfId="0" applyFont="1" applyFill="1"/>
    <xf numFmtId="0" fontId="2" fillId="12" borderId="0" xfId="0" applyFont="1" applyFill="1"/>
    <xf numFmtId="0" fontId="1" fillId="12" borderId="0" xfId="0" applyFont="1" applyFill="1" applyAlignment="1">
      <alignment horizontal="left"/>
    </xf>
    <xf numFmtId="0" fontId="1" fillId="12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11" fillId="12" borderId="0" xfId="0" applyFont="1" applyFill="1"/>
    <xf numFmtId="0" fontId="12" fillId="12" borderId="0" xfId="0" applyFont="1" applyFill="1" applyAlignment="1">
      <alignment wrapText="1"/>
    </xf>
    <xf numFmtId="164" fontId="1" fillId="9" borderId="0" xfId="0" applyNumberFormat="1" applyFont="1" applyFill="1"/>
    <xf numFmtId="0" fontId="2" fillId="9" borderId="0" xfId="0" applyFont="1" applyFill="1"/>
    <xf numFmtId="0" fontId="1" fillId="9" borderId="0" xfId="0" applyFont="1" applyFill="1" applyAlignment="1">
      <alignment horizontal="left"/>
    </xf>
    <xf numFmtId="0" fontId="1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164" fontId="6" fillId="0" borderId="0" xfId="0" applyNumberFormat="1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9" fillId="9" borderId="0" xfId="0" applyFont="1" applyFill="1" applyAlignment="1">
      <alignment horizontal="center"/>
    </xf>
    <xf numFmtId="164" fontId="13" fillId="11" borderId="1" xfId="0" applyNumberFormat="1" applyFont="1" applyFill="1" applyBorder="1" applyAlignment="1">
      <alignment horizontal="right"/>
    </xf>
    <xf numFmtId="0" fontId="13" fillId="11" borderId="2" xfId="0" applyFont="1" applyFill="1" applyBorder="1"/>
    <xf numFmtId="0" fontId="13" fillId="11" borderId="2" xfId="0" applyFont="1" applyFill="1" applyBorder="1" applyAlignment="1">
      <alignment horizontal="right"/>
    </xf>
    <xf numFmtId="0" fontId="1" fillId="11" borderId="2" xfId="0" applyFont="1" applyFill="1" applyBorder="1"/>
    <xf numFmtId="0" fontId="14" fillId="11" borderId="2" xfId="0" applyFont="1" applyFill="1" applyBorder="1"/>
    <xf numFmtId="0" fontId="2" fillId="11" borderId="2" xfId="0" applyFont="1" applyFill="1" applyBorder="1"/>
    <xf numFmtId="0" fontId="13" fillId="11" borderId="2" xfId="0" applyFont="1" applyFill="1" applyBorder="1" applyAlignment="1">
      <alignment horizontal="left"/>
    </xf>
    <xf numFmtId="0" fontId="13" fillId="11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5" fillId="11" borderId="2" xfId="0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/>
    </xf>
    <xf numFmtId="0" fontId="1" fillId="12" borderId="0" xfId="0" applyFont="1" applyFill="1" applyAlignment="1">
      <alignment horizontal="left" wrapText="1"/>
    </xf>
    <xf numFmtId="0" fontId="1" fillId="12" borderId="0" xfId="0" applyFont="1" applyFill="1" applyAlignment="1">
      <alignment wrapText="1"/>
    </xf>
    <xf numFmtId="0" fontId="2" fillId="12" borderId="0" xfId="0" applyFont="1" applyFill="1" applyAlignment="1">
      <alignment wrapText="1"/>
    </xf>
    <xf numFmtId="0" fontId="9" fillId="9" borderId="0" xfId="0" applyFont="1" applyFill="1"/>
    <xf numFmtId="164" fontId="6" fillId="12" borderId="0" xfId="0" applyNumberFormat="1" applyFont="1" applyFill="1"/>
    <xf numFmtId="0" fontId="6" fillId="12" borderId="0" xfId="0" applyFont="1" applyFill="1"/>
    <xf numFmtId="0" fontId="16" fillId="12" borderId="0" xfId="0" applyFont="1" applyFill="1"/>
    <xf numFmtId="0" fontId="7" fillId="12" borderId="0" xfId="0" applyFont="1" applyFill="1"/>
    <xf numFmtId="0" fontId="6" fillId="12" borderId="0" xfId="0" applyFont="1" applyFill="1" applyAlignment="1">
      <alignment horizontal="left"/>
    </xf>
    <xf numFmtId="0" fontId="6" fillId="12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164" fontId="5" fillId="13" borderId="0" xfId="0" applyNumberFormat="1" applyFont="1" applyFill="1"/>
    <xf numFmtId="0" fontId="5" fillId="13" borderId="0" xfId="0" applyFont="1" applyFill="1"/>
    <xf numFmtId="0" fontId="11" fillId="13" borderId="0" xfId="0" applyFont="1" applyFill="1"/>
    <xf numFmtId="0" fontId="2" fillId="13" borderId="0" xfId="0" applyFont="1" applyFill="1"/>
    <xf numFmtId="0" fontId="1" fillId="13" borderId="0" xfId="0" applyFont="1" applyFill="1" applyAlignment="1">
      <alignment horizontal="left"/>
    </xf>
    <xf numFmtId="0" fontId="5" fillId="13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164" fontId="1" fillId="13" borderId="0" xfId="0" applyNumberFormat="1" applyFont="1" applyFill="1"/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17" fillId="13" borderId="0" xfId="0" applyFont="1" applyFill="1"/>
    <xf numFmtId="0" fontId="2" fillId="13" borderId="0" xfId="0" applyFont="1" applyFill="1" applyAlignment="1">
      <alignment wrapText="1"/>
    </xf>
    <xf numFmtId="0" fontId="18" fillId="13" borderId="0" xfId="0" applyFont="1" applyFill="1" applyAlignment="1">
      <alignment wrapText="1"/>
    </xf>
    <xf numFmtId="0" fontId="19" fillId="12" borderId="0" xfId="0" applyFont="1" applyFill="1"/>
    <xf numFmtId="0" fontId="18" fillId="12" borderId="0" xfId="0" applyFont="1" applyFill="1"/>
    <xf numFmtId="0" fontId="17" fillId="12" borderId="0" xfId="0" applyFont="1" applyFill="1" applyAlignment="1">
      <alignment wrapText="1"/>
    </xf>
    <xf numFmtId="0" fontId="20" fillId="12" borderId="0" xfId="0" applyFont="1" applyFill="1"/>
    <xf numFmtId="0" fontId="9" fillId="12" borderId="0" xfId="0" applyFont="1" applyFill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42F65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F39" totalsRowShown="0">
  <tableColumns count="32">
    <tableColumn id="1" xr3:uid="{00000000-0010-0000-0000-000001000000}" name="Informazioni cronologiche"/>
    <tableColumn id="2" xr3:uid="{00000000-0010-0000-0000-000002000000}" name="Indirizzo email"/>
    <tableColumn id="3" xr3:uid="{00000000-0010-0000-0000-000003000000}" name="Column 30"/>
    <tableColumn id="4" xr3:uid="{00000000-0010-0000-0000-000004000000}" name="Nome istituto - Primo grado"/>
    <tableColumn id="5" xr3:uid="{00000000-0010-0000-0000-000005000000}" name="Nome istituto secondo grado"/>
    <tableColumn id="6" xr3:uid="{00000000-0010-0000-0000-000006000000}" name="MEDIE"/>
    <tableColumn id="7" xr3:uid="{00000000-0010-0000-0000-000007000000}" name="SUPERIORI"/>
    <tableColumn id="8" xr3:uid="{00000000-0010-0000-0000-000008000000}" name="Ragazze _x000a_Selected"/>
    <tableColumn id="9" xr3:uid="{00000000-0010-0000-0000-000009000000}" name="Ragazzi _x000a_Selected "/>
    <tableColumn id="10" xr3:uid="{00000000-0010-0000-0000-00000A000000}" name="Cadette _x000a_School"/>
    <tableColumn id="11" xr3:uid="{00000000-0010-0000-0000-00000B000000}" name="Cadetti _x000a_School"/>
    <tableColumn id="12" xr3:uid="{00000000-0010-0000-0000-00000C000000}" name="Cadette  _x000a_Selected"/>
    <tableColumn id="13" xr3:uid="{00000000-0010-0000-0000-00000D000000}" name="Cadetti   _x000a_Selected "/>
    <tableColumn id="14" xr3:uid="{00000000-0010-0000-0000-00000E000000}" name="Allieve _x000a_School"/>
    <tableColumn id="15" xr3:uid="{00000000-0010-0000-0000-00000F000000}" name="Allievi _x000a_School"/>
    <tableColumn id="16" xr3:uid="{00000000-0010-0000-0000-000010000000}" name="Allieve _x000a_Selected"/>
    <tableColumn id="17" xr3:uid="{00000000-0010-0000-0000-000011000000}" name="Allievi _x000a_Selected "/>
    <tableColumn id="18" xr3:uid="{00000000-0010-0000-0000-000012000000}" name="Juniores F _x000a_Selected "/>
    <tableColumn id="19" xr3:uid="{00000000-0010-0000-0000-000013000000}" name="Juniores M_x000a_ Selected "/>
    <tableColumn id="20" xr3:uid="{00000000-0010-0000-0000-000014000000}" name="Trail- O"/>
    <tableColumn id="21" xr3:uid="{00000000-0010-0000-0000-000015000000}" name="docenti"/>
    <tableColumn id="22" xr3:uid="{00000000-0010-0000-0000-000016000000}" name="PRESENZE"/>
    <tableColumn id="23" xr3:uid="{00000000-0010-0000-0000-000017000000}" name="Note aggiuntive"/>
    <tableColumn id="24" xr3:uid="{00000000-0010-0000-0000-000018000000}" name="Indicare eventuale punto di ritrovo diverso dalle sedi scolastiche._x000a__x000a_(Es.:  Fermata Bus &quot;XXX&quot; , Via ... , Comune ....)"/>
    <tableColumn id="25" xr3:uid="{00000000-0010-0000-0000-000019000000}" name="km"/>
    <tableColumn id="26" xr3:uid="{00000000-0010-0000-0000-00001A000000}" name="tempo"/>
    <tableColumn id="27" xr3:uid="{00000000-0010-0000-0000-00001B000000}" name="COGNOME Docente di riferimento per manifestazione  "/>
    <tableColumn id="28" xr3:uid="{00000000-0010-0000-0000-00001C000000}" name="NOME Docente di riferimento per manifestazione"/>
    <tableColumn id="29" xr3:uid="{00000000-0010-0000-0000-00001D000000}" name="N° CELLULARE Docente di riferimento per manifestazione"/>
    <tableColumn id="30" xr3:uid="{00000000-0010-0000-0000-00001E000000}" name="E-MAIL Docente di riferimento per manifestazione"/>
    <tableColumn id="31" xr3:uid="{00000000-0010-0000-0000-00001F000000}" name="E-MAIL segreteria "/>
    <tableColumn id="32" xr3:uid="{00000000-0010-0000-0000-000020000000}" name="Numero telefono segreteri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a_1" displayName="Tabella_1" ref="Y44:Z44" headerRowCount="0" totalsRowShown="0">
  <tableColumns count="2">
    <tableColumn id="1" xr3:uid="{00000000-0010-0000-0100-000001000000}" name="Column1"/>
    <tableColumn id="2" xr3:uid="{00000000-0010-0000-0100-000002000000}" name="Column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_2" displayName="Tabella_2" ref="Y41:Z41" headerRowCount="0" totalsRowShown="0">
  <tableColumns count="2">
    <tableColumn id="1" xr3:uid="{00000000-0010-0000-0200-000001000000}" name="Column1"/>
    <tableColumn id="2" xr3:uid="{00000000-0010-0000-0200-000002000000}" name="Column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A42:AF42" headerRowCount="0" totalsRowShown="0">
  <tableColumns count="32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10" displayName="Table_10" ref="A58:AF58" headerRowCount="0" totalsRowShown="0">
  <tableColumns count="32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11" displayName="Table_11" ref="A59:AF59" headerRowCount="0" totalsRowShown="0">
  <tableColumns count="32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12" displayName="Table_12" ref="A61:AF61" headerRowCount="0" totalsRowShown="0">
  <tableColumns count="32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  <tableColumn id="30" xr3:uid="{00000000-0010-0000-0600-00001E000000}" name="Column30"/>
    <tableColumn id="31" xr3:uid="{00000000-0010-0000-0600-00001F000000}" name="Column31"/>
    <tableColumn id="32" xr3:uid="{00000000-0010-0000-0600-000020000000}" name="Column3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13" displayName="Table_13" ref="A62:AF62" headerRowCount="0" totalsRowShown="0">
  <tableColumns count="32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  <tableColumn id="27" xr3:uid="{00000000-0010-0000-0700-00001B000000}" name="Column27"/>
    <tableColumn id="28" xr3:uid="{00000000-0010-0000-0700-00001C000000}" name="Column28"/>
    <tableColumn id="29" xr3:uid="{00000000-0010-0000-0700-00001D000000}" name="Column29"/>
    <tableColumn id="30" xr3:uid="{00000000-0010-0000-0700-00001E000000}" name="Column30"/>
    <tableColumn id="31" xr3:uid="{00000000-0010-0000-0700-00001F000000}" name="Column31"/>
    <tableColumn id="32" xr3:uid="{00000000-0010-0000-0700-000020000000}" name="Column3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14" displayName="Table_14" ref="A63:AF63" headerRowCount="0" totalsRowShown="0">
  <tableColumns count="32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  <tableColumn id="27" xr3:uid="{00000000-0010-0000-0800-00001B000000}" name="Column27"/>
    <tableColumn id="28" xr3:uid="{00000000-0010-0000-0800-00001C000000}" name="Column28"/>
    <tableColumn id="29" xr3:uid="{00000000-0010-0000-0800-00001D000000}" name="Column29"/>
    <tableColumn id="30" xr3:uid="{00000000-0010-0000-0800-00001E000000}" name="Column30"/>
    <tableColumn id="31" xr3:uid="{00000000-0010-0000-0800-00001F000000}" name="Column31"/>
    <tableColumn id="32" xr3:uid="{00000000-0010-0000-0800-000020000000}" name="Column3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5" displayName="Table_15" ref="A65:AF65" headerRowCount="0" totalsRowShown="0">
  <tableColumns count="32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  <tableColumn id="27" xr3:uid="{00000000-0010-0000-0900-00001B000000}" name="Column27"/>
    <tableColumn id="28" xr3:uid="{00000000-0010-0000-0900-00001C000000}" name="Column28"/>
    <tableColumn id="29" xr3:uid="{00000000-0010-0000-0900-00001D000000}" name="Column29"/>
    <tableColumn id="30" xr3:uid="{00000000-0010-0000-0900-00001E000000}" name="Column30"/>
    <tableColumn id="31" xr3:uid="{00000000-0010-0000-0900-00001F000000}" name="Column31"/>
    <tableColumn id="32" xr3:uid="{00000000-0010-0000-0900-000020000000}" name="Column3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6" displayName="Table_16" ref="A66:AF66" headerRowCount="0" totalsRowShown="0">
  <tableColumns count="32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  <tableColumn id="28" xr3:uid="{00000000-0010-0000-0A00-00001C000000}" name="Column28"/>
    <tableColumn id="29" xr3:uid="{00000000-0010-0000-0A00-00001D000000}" name="Column29"/>
    <tableColumn id="30" xr3:uid="{00000000-0010-0000-0A00-00001E000000}" name="Column30"/>
    <tableColumn id="31" xr3:uid="{00000000-0010-0000-0A00-00001F000000}" name="Column31"/>
    <tableColumn id="32" xr3:uid="{00000000-0010-0000-0A00-000020000000}" name="Column3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7" displayName="Table_17" ref="A68:AF68" headerRowCount="0" totalsRowShown="0">
  <tableColumns count="32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  <tableColumn id="16" xr3:uid="{00000000-0010-0000-0B00-000010000000}" name="Column16"/>
    <tableColumn id="17" xr3:uid="{00000000-0010-0000-0B00-000011000000}" name="Column17"/>
    <tableColumn id="18" xr3:uid="{00000000-0010-0000-0B00-000012000000}" name="Column18"/>
    <tableColumn id="19" xr3:uid="{00000000-0010-0000-0B00-000013000000}" name="Column19"/>
    <tableColumn id="20" xr3:uid="{00000000-0010-0000-0B00-000014000000}" name="Column20"/>
    <tableColumn id="21" xr3:uid="{00000000-0010-0000-0B00-000015000000}" name="Column21"/>
    <tableColumn id="22" xr3:uid="{00000000-0010-0000-0B00-000016000000}" name="Column22"/>
    <tableColumn id="23" xr3:uid="{00000000-0010-0000-0B00-000017000000}" name="Column23"/>
    <tableColumn id="24" xr3:uid="{00000000-0010-0000-0B00-000018000000}" name="Column24"/>
    <tableColumn id="25" xr3:uid="{00000000-0010-0000-0B00-000019000000}" name="Column25"/>
    <tableColumn id="26" xr3:uid="{00000000-0010-0000-0B00-00001A000000}" name="Column26"/>
    <tableColumn id="27" xr3:uid="{00000000-0010-0000-0B00-00001B000000}" name="Column27"/>
    <tableColumn id="28" xr3:uid="{00000000-0010-0000-0B00-00001C000000}" name="Column28"/>
    <tableColumn id="29" xr3:uid="{00000000-0010-0000-0B00-00001D000000}" name="Column29"/>
    <tableColumn id="30" xr3:uid="{00000000-0010-0000-0B00-00001E000000}" name="Column30"/>
    <tableColumn id="31" xr3:uid="{00000000-0010-0000-0B00-00001F000000}" name="Column31"/>
    <tableColumn id="32" xr3:uid="{00000000-0010-0000-0B00-000020000000}" name="Column3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8" displayName="Table_18" ref="A69:AF69" headerRowCount="0" totalsRowShown="0">
  <tableColumns count="32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  <tableColumn id="19" xr3:uid="{00000000-0010-0000-0C00-000013000000}" name="Column19"/>
    <tableColumn id="20" xr3:uid="{00000000-0010-0000-0C00-000014000000}" name="Column20"/>
    <tableColumn id="21" xr3:uid="{00000000-0010-0000-0C00-000015000000}" name="Column21"/>
    <tableColumn id="22" xr3:uid="{00000000-0010-0000-0C00-000016000000}" name="Column22"/>
    <tableColumn id="23" xr3:uid="{00000000-0010-0000-0C00-000017000000}" name="Column23"/>
    <tableColumn id="24" xr3:uid="{00000000-0010-0000-0C00-000018000000}" name="Column24"/>
    <tableColumn id="25" xr3:uid="{00000000-0010-0000-0C00-000019000000}" name="Column25"/>
    <tableColumn id="26" xr3:uid="{00000000-0010-0000-0C00-00001A000000}" name="Column26"/>
    <tableColumn id="27" xr3:uid="{00000000-0010-0000-0C00-00001B000000}" name="Column27"/>
    <tableColumn id="28" xr3:uid="{00000000-0010-0000-0C00-00001C000000}" name="Column28"/>
    <tableColumn id="29" xr3:uid="{00000000-0010-0000-0C00-00001D000000}" name="Column29"/>
    <tableColumn id="30" xr3:uid="{00000000-0010-0000-0C00-00001E000000}" name="Column30"/>
    <tableColumn id="31" xr3:uid="{00000000-0010-0000-0C00-00001F000000}" name="Column31"/>
    <tableColumn id="32" xr3:uid="{00000000-0010-0000-0C00-000020000000}" name="Column3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9" displayName="Table_19" ref="A71:AF71" headerRowCount="0" totalsRowShown="0">
  <tableColumns count="32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  <tableColumn id="17" xr3:uid="{00000000-0010-0000-0D00-000011000000}" name="Column17"/>
    <tableColumn id="18" xr3:uid="{00000000-0010-0000-0D00-000012000000}" name="Column18"/>
    <tableColumn id="19" xr3:uid="{00000000-0010-0000-0D00-000013000000}" name="Column19"/>
    <tableColumn id="20" xr3:uid="{00000000-0010-0000-0D00-000014000000}" name="Column20"/>
    <tableColumn id="21" xr3:uid="{00000000-0010-0000-0D00-000015000000}" name="Column21"/>
    <tableColumn id="22" xr3:uid="{00000000-0010-0000-0D00-000016000000}" name="Column22"/>
    <tableColumn id="23" xr3:uid="{00000000-0010-0000-0D00-000017000000}" name="Column23"/>
    <tableColumn id="24" xr3:uid="{00000000-0010-0000-0D00-000018000000}" name="Column24"/>
    <tableColumn id="25" xr3:uid="{00000000-0010-0000-0D00-000019000000}" name="Column25"/>
    <tableColumn id="26" xr3:uid="{00000000-0010-0000-0D00-00001A000000}" name="Column26"/>
    <tableColumn id="27" xr3:uid="{00000000-0010-0000-0D00-00001B000000}" name="Column27"/>
    <tableColumn id="28" xr3:uid="{00000000-0010-0000-0D00-00001C000000}" name="Column28"/>
    <tableColumn id="29" xr3:uid="{00000000-0010-0000-0D00-00001D000000}" name="Column29"/>
    <tableColumn id="30" xr3:uid="{00000000-0010-0000-0D00-00001E000000}" name="Column30"/>
    <tableColumn id="31" xr3:uid="{00000000-0010-0000-0D00-00001F000000}" name="Column31"/>
    <tableColumn id="32" xr3:uid="{00000000-0010-0000-0D00-000020000000}" name="Column3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2" displayName="Table_2" ref="A43:AF43" headerRowCount="0" totalsRowShown="0">
  <tableColumns count="32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  <tableColumn id="19" xr3:uid="{00000000-0010-0000-0E00-000013000000}" name="Column19"/>
    <tableColumn id="20" xr3:uid="{00000000-0010-0000-0E00-000014000000}" name="Column20"/>
    <tableColumn id="21" xr3:uid="{00000000-0010-0000-0E00-000015000000}" name="Column21"/>
    <tableColumn id="22" xr3:uid="{00000000-0010-0000-0E00-000016000000}" name="Column22"/>
    <tableColumn id="23" xr3:uid="{00000000-0010-0000-0E00-000017000000}" name="Column23"/>
    <tableColumn id="24" xr3:uid="{00000000-0010-0000-0E00-000018000000}" name="Column24"/>
    <tableColumn id="25" xr3:uid="{00000000-0010-0000-0E00-000019000000}" name="Column25"/>
    <tableColumn id="26" xr3:uid="{00000000-0010-0000-0E00-00001A000000}" name="Column26"/>
    <tableColumn id="27" xr3:uid="{00000000-0010-0000-0E00-00001B000000}" name="Column27"/>
    <tableColumn id="28" xr3:uid="{00000000-0010-0000-0E00-00001C000000}" name="Column28"/>
    <tableColumn id="29" xr3:uid="{00000000-0010-0000-0E00-00001D000000}" name="Column29"/>
    <tableColumn id="30" xr3:uid="{00000000-0010-0000-0E00-00001E000000}" name="Column30"/>
    <tableColumn id="31" xr3:uid="{00000000-0010-0000-0E00-00001F000000}" name="Column31"/>
    <tableColumn id="32" xr3:uid="{00000000-0010-0000-0E00-000020000000}" name="Column3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20" displayName="Table_20" ref="A72:AF73" headerRowCount="0" totalsRowShown="0">
  <tableColumns count="32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  <tableColumn id="14" xr3:uid="{00000000-0010-0000-0F00-00000E000000}" name="Column14"/>
    <tableColumn id="15" xr3:uid="{00000000-0010-0000-0F00-00000F000000}" name="Column15"/>
    <tableColumn id="16" xr3:uid="{00000000-0010-0000-0F00-000010000000}" name="Column16"/>
    <tableColumn id="17" xr3:uid="{00000000-0010-0000-0F00-000011000000}" name="Column17"/>
    <tableColumn id="18" xr3:uid="{00000000-0010-0000-0F00-000012000000}" name="Column18"/>
    <tableColumn id="19" xr3:uid="{00000000-0010-0000-0F00-000013000000}" name="Column19"/>
    <tableColumn id="20" xr3:uid="{00000000-0010-0000-0F00-000014000000}" name="Column20"/>
    <tableColumn id="21" xr3:uid="{00000000-0010-0000-0F00-000015000000}" name="Column21"/>
    <tableColumn id="22" xr3:uid="{00000000-0010-0000-0F00-000016000000}" name="Column22"/>
    <tableColumn id="23" xr3:uid="{00000000-0010-0000-0F00-000017000000}" name="Column23"/>
    <tableColumn id="24" xr3:uid="{00000000-0010-0000-0F00-000018000000}" name="Column24"/>
    <tableColumn id="25" xr3:uid="{00000000-0010-0000-0F00-000019000000}" name="Column25"/>
    <tableColumn id="26" xr3:uid="{00000000-0010-0000-0F00-00001A000000}" name="Column26"/>
    <tableColumn id="27" xr3:uid="{00000000-0010-0000-0F00-00001B000000}" name="Column27"/>
    <tableColumn id="28" xr3:uid="{00000000-0010-0000-0F00-00001C000000}" name="Column28"/>
    <tableColumn id="29" xr3:uid="{00000000-0010-0000-0F00-00001D000000}" name="Column29"/>
    <tableColumn id="30" xr3:uid="{00000000-0010-0000-0F00-00001E000000}" name="Column30"/>
    <tableColumn id="31" xr3:uid="{00000000-0010-0000-0F00-00001F000000}" name="Column31"/>
    <tableColumn id="32" xr3:uid="{00000000-0010-0000-0F00-000020000000}" name="Column3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21" displayName="Table_21" ref="A74:AF74" headerRowCount="0" totalsRowShown="0">
  <tableColumns count="32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  <tableColumn id="16" xr3:uid="{00000000-0010-0000-1000-000010000000}" name="Column16"/>
    <tableColumn id="17" xr3:uid="{00000000-0010-0000-1000-000011000000}" name="Column17"/>
    <tableColumn id="18" xr3:uid="{00000000-0010-0000-1000-000012000000}" name="Column18"/>
    <tableColumn id="19" xr3:uid="{00000000-0010-0000-1000-000013000000}" name="Column19"/>
    <tableColumn id="20" xr3:uid="{00000000-0010-0000-1000-000014000000}" name="Column20"/>
    <tableColumn id="21" xr3:uid="{00000000-0010-0000-1000-000015000000}" name="Column21"/>
    <tableColumn id="22" xr3:uid="{00000000-0010-0000-1000-000016000000}" name="Column22"/>
    <tableColumn id="23" xr3:uid="{00000000-0010-0000-1000-000017000000}" name="Column23"/>
    <tableColumn id="24" xr3:uid="{00000000-0010-0000-1000-000018000000}" name="Column24"/>
    <tableColumn id="25" xr3:uid="{00000000-0010-0000-1000-000019000000}" name="Column25"/>
    <tableColumn id="26" xr3:uid="{00000000-0010-0000-1000-00001A000000}" name="Column26"/>
    <tableColumn id="27" xr3:uid="{00000000-0010-0000-1000-00001B000000}" name="Column27"/>
    <tableColumn id="28" xr3:uid="{00000000-0010-0000-1000-00001C000000}" name="Column28"/>
    <tableColumn id="29" xr3:uid="{00000000-0010-0000-1000-00001D000000}" name="Column29"/>
    <tableColumn id="30" xr3:uid="{00000000-0010-0000-1000-00001E000000}" name="Column30"/>
    <tableColumn id="31" xr3:uid="{00000000-0010-0000-1000-00001F000000}" name="Column31"/>
    <tableColumn id="32" xr3:uid="{00000000-0010-0000-1000-000020000000}" name="Column3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22" displayName="Table_22" ref="A75:AF75" headerRowCount="0" totalsRowShown="0">
  <tableColumns count="32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  <tableColumn id="14" xr3:uid="{00000000-0010-0000-1100-00000E000000}" name="Column14"/>
    <tableColumn id="15" xr3:uid="{00000000-0010-0000-1100-00000F000000}" name="Column15"/>
    <tableColumn id="16" xr3:uid="{00000000-0010-0000-1100-000010000000}" name="Column16"/>
    <tableColumn id="17" xr3:uid="{00000000-0010-0000-1100-000011000000}" name="Column17"/>
    <tableColumn id="18" xr3:uid="{00000000-0010-0000-1100-000012000000}" name="Column18"/>
    <tableColumn id="19" xr3:uid="{00000000-0010-0000-1100-000013000000}" name="Column19"/>
    <tableColumn id="20" xr3:uid="{00000000-0010-0000-1100-000014000000}" name="Column20"/>
    <tableColumn id="21" xr3:uid="{00000000-0010-0000-1100-000015000000}" name="Column21"/>
    <tableColumn id="22" xr3:uid="{00000000-0010-0000-1100-000016000000}" name="Column22"/>
    <tableColumn id="23" xr3:uid="{00000000-0010-0000-1100-000017000000}" name="Column23"/>
    <tableColumn id="24" xr3:uid="{00000000-0010-0000-1100-000018000000}" name="Column24"/>
    <tableColumn id="25" xr3:uid="{00000000-0010-0000-1100-000019000000}" name="Column25"/>
    <tableColumn id="26" xr3:uid="{00000000-0010-0000-1100-00001A000000}" name="Column26"/>
    <tableColumn id="27" xr3:uid="{00000000-0010-0000-1100-00001B000000}" name="Column27"/>
    <tableColumn id="28" xr3:uid="{00000000-0010-0000-1100-00001C000000}" name="Column28"/>
    <tableColumn id="29" xr3:uid="{00000000-0010-0000-1100-00001D000000}" name="Column29"/>
    <tableColumn id="30" xr3:uid="{00000000-0010-0000-1100-00001E000000}" name="Column30"/>
    <tableColumn id="31" xr3:uid="{00000000-0010-0000-1100-00001F000000}" name="Column31"/>
    <tableColumn id="32" xr3:uid="{00000000-0010-0000-1100-000020000000}" name="Column3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23" displayName="Table_23" ref="A78:AF79" headerRowCount="0" totalsRowShown="0">
  <tableColumns count="32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  <tableColumn id="14" xr3:uid="{00000000-0010-0000-1200-00000E000000}" name="Column14"/>
    <tableColumn id="15" xr3:uid="{00000000-0010-0000-1200-00000F000000}" name="Column15"/>
    <tableColumn id="16" xr3:uid="{00000000-0010-0000-1200-000010000000}" name="Column16"/>
    <tableColumn id="17" xr3:uid="{00000000-0010-0000-1200-000011000000}" name="Column17"/>
    <tableColumn id="18" xr3:uid="{00000000-0010-0000-1200-000012000000}" name="Column18"/>
    <tableColumn id="19" xr3:uid="{00000000-0010-0000-1200-000013000000}" name="Column19"/>
    <tableColumn id="20" xr3:uid="{00000000-0010-0000-1200-000014000000}" name="Column20"/>
    <tableColumn id="21" xr3:uid="{00000000-0010-0000-1200-000015000000}" name="Column21"/>
    <tableColumn id="22" xr3:uid="{00000000-0010-0000-1200-000016000000}" name="Column22"/>
    <tableColumn id="23" xr3:uid="{00000000-0010-0000-1200-000017000000}" name="Column23"/>
    <tableColumn id="24" xr3:uid="{00000000-0010-0000-1200-000018000000}" name="Column24"/>
    <tableColumn id="25" xr3:uid="{00000000-0010-0000-1200-000019000000}" name="Column25"/>
    <tableColumn id="26" xr3:uid="{00000000-0010-0000-1200-00001A000000}" name="Column26"/>
    <tableColumn id="27" xr3:uid="{00000000-0010-0000-1200-00001B000000}" name="Column27"/>
    <tableColumn id="28" xr3:uid="{00000000-0010-0000-1200-00001C000000}" name="Column28"/>
    <tableColumn id="29" xr3:uid="{00000000-0010-0000-1200-00001D000000}" name="Column29"/>
    <tableColumn id="30" xr3:uid="{00000000-0010-0000-1200-00001E000000}" name="Column30"/>
    <tableColumn id="31" xr3:uid="{00000000-0010-0000-1200-00001F000000}" name="Column31"/>
    <tableColumn id="32" xr3:uid="{00000000-0010-0000-1200-000020000000}" name="Column3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4" displayName="Table_24" ref="A81:AF81" headerRowCount="0" totalsRowShown="0">
  <tableColumns count="32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  <tableColumn id="17" xr3:uid="{00000000-0010-0000-1300-000011000000}" name="Column17"/>
    <tableColumn id="18" xr3:uid="{00000000-0010-0000-1300-000012000000}" name="Column18"/>
    <tableColumn id="19" xr3:uid="{00000000-0010-0000-1300-000013000000}" name="Column19"/>
    <tableColumn id="20" xr3:uid="{00000000-0010-0000-1300-000014000000}" name="Column20"/>
    <tableColumn id="21" xr3:uid="{00000000-0010-0000-1300-000015000000}" name="Column21"/>
    <tableColumn id="22" xr3:uid="{00000000-0010-0000-1300-000016000000}" name="Column22"/>
    <tableColumn id="23" xr3:uid="{00000000-0010-0000-1300-000017000000}" name="Column23"/>
    <tableColumn id="24" xr3:uid="{00000000-0010-0000-1300-000018000000}" name="Column24"/>
    <tableColumn id="25" xr3:uid="{00000000-0010-0000-1300-000019000000}" name="Column25"/>
    <tableColumn id="26" xr3:uid="{00000000-0010-0000-1300-00001A000000}" name="Column26"/>
    <tableColumn id="27" xr3:uid="{00000000-0010-0000-1300-00001B000000}" name="Column27"/>
    <tableColumn id="28" xr3:uid="{00000000-0010-0000-1300-00001C000000}" name="Column28"/>
    <tableColumn id="29" xr3:uid="{00000000-0010-0000-1300-00001D000000}" name="Column29"/>
    <tableColumn id="30" xr3:uid="{00000000-0010-0000-1300-00001E000000}" name="Column30"/>
    <tableColumn id="31" xr3:uid="{00000000-0010-0000-1300-00001F000000}" name="Column31"/>
    <tableColumn id="32" xr3:uid="{00000000-0010-0000-1300-000020000000}" name="Column3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5" displayName="Table_25" ref="A82:AF82" headerRowCount="0" totalsRowShown="0">
  <tableColumns count="32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  <tableColumn id="12" xr3:uid="{00000000-0010-0000-1400-00000C000000}" name="Column12"/>
    <tableColumn id="13" xr3:uid="{00000000-0010-0000-1400-00000D000000}" name="Column13"/>
    <tableColumn id="14" xr3:uid="{00000000-0010-0000-1400-00000E000000}" name="Column14"/>
    <tableColumn id="15" xr3:uid="{00000000-0010-0000-1400-00000F000000}" name="Column15"/>
    <tableColumn id="16" xr3:uid="{00000000-0010-0000-1400-000010000000}" name="Column16"/>
    <tableColumn id="17" xr3:uid="{00000000-0010-0000-1400-000011000000}" name="Column17"/>
    <tableColumn id="18" xr3:uid="{00000000-0010-0000-1400-000012000000}" name="Column18"/>
    <tableColumn id="19" xr3:uid="{00000000-0010-0000-1400-000013000000}" name="Column19"/>
    <tableColumn id="20" xr3:uid="{00000000-0010-0000-1400-000014000000}" name="Column20"/>
    <tableColumn id="21" xr3:uid="{00000000-0010-0000-1400-000015000000}" name="Column21"/>
    <tableColumn id="22" xr3:uid="{00000000-0010-0000-1400-000016000000}" name="Column22"/>
    <tableColumn id="23" xr3:uid="{00000000-0010-0000-1400-000017000000}" name="Column23"/>
    <tableColumn id="24" xr3:uid="{00000000-0010-0000-1400-000018000000}" name="Column24"/>
    <tableColumn id="25" xr3:uid="{00000000-0010-0000-1400-000019000000}" name="Column25"/>
    <tableColumn id="26" xr3:uid="{00000000-0010-0000-1400-00001A000000}" name="Column26"/>
    <tableColumn id="27" xr3:uid="{00000000-0010-0000-1400-00001B000000}" name="Column27"/>
    <tableColumn id="28" xr3:uid="{00000000-0010-0000-1400-00001C000000}" name="Column28"/>
    <tableColumn id="29" xr3:uid="{00000000-0010-0000-1400-00001D000000}" name="Column29"/>
    <tableColumn id="30" xr3:uid="{00000000-0010-0000-1400-00001E000000}" name="Column30"/>
    <tableColumn id="31" xr3:uid="{00000000-0010-0000-1400-00001F000000}" name="Column31"/>
    <tableColumn id="32" xr3:uid="{00000000-0010-0000-1400-000020000000}" name="Column3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6" displayName="Table_26" ref="A86:AF86" headerRowCount="0" totalsRowShown="0">
  <tableColumns count="32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  <tableColumn id="11" xr3:uid="{00000000-0010-0000-1500-00000B000000}" name="Column11"/>
    <tableColumn id="12" xr3:uid="{00000000-0010-0000-1500-00000C000000}" name="Column12"/>
    <tableColumn id="13" xr3:uid="{00000000-0010-0000-1500-00000D000000}" name="Column13"/>
    <tableColumn id="14" xr3:uid="{00000000-0010-0000-1500-00000E000000}" name="Column14"/>
    <tableColumn id="15" xr3:uid="{00000000-0010-0000-1500-00000F000000}" name="Column15"/>
    <tableColumn id="16" xr3:uid="{00000000-0010-0000-1500-000010000000}" name="Column16"/>
    <tableColumn id="17" xr3:uid="{00000000-0010-0000-1500-000011000000}" name="Column17"/>
    <tableColumn id="18" xr3:uid="{00000000-0010-0000-1500-000012000000}" name="Column18"/>
    <tableColumn id="19" xr3:uid="{00000000-0010-0000-1500-000013000000}" name="Column19"/>
    <tableColumn id="20" xr3:uid="{00000000-0010-0000-1500-000014000000}" name="Column20"/>
    <tableColumn id="21" xr3:uid="{00000000-0010-0000-1500-000015000000}" name="Column21"/>
    <tableColumn id="22" xr3:uid="{00000000-0010-0000-1500-000016000000}" name="Column22"/>
    <tableColumn id="23" xr3:uid="{00000000-0010-0000-1500-000017000000}" name="Column23"/>
    <tableColumn id="24" xr3:uid="{00000000-0010-0000-1500-000018000000}" name="Column24"/>
    <tableColumn id="25" xr3:uid="{00000000-0010-0000-1500-000019000000}" name="Column25"/>
    <tableColumn id="26" xr3:uid="{00000000-0010-0000-1500-00001A000000}" name="Column26"/>
    <tableColumn id="27" xr3:uid="{00000000-0010-0000-1500-00001B000000}" name="Column27"/>
    <tableColumn id="28" xr3:uid="{00000000-0010-0000-1500-00001C000000}" name="Column28"/>
    <tableColumn id="29" xr3:uid="{00000000-0010-0000-1500-00001D000000}" name="Column29"/>
    <tableColumn id="30" xr3:uid="{00000000-0010-0000-1500-00001E000000}" name="Column30"/>
    <tableColumn id="31" xr3:uid="{00000000-0010-0000-1500-00001F000000}" name="Column31"/>
    <tableColumn id="32" xr3:uid="{00000000-0010-0000-1500-000020000000}" name="Column3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7" displayName="Table_27" ref="A88:AF88" headerRowCount="0" totalsRowShown="0">
  <tableColumns count="32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  <tableColumn id="10" xr3:uid="{00000000-0010-0000-1600-00000A000000}" name="Column10"/>
    <tableColumn id="11" xr3:uid="{00000000-0010-0000-1600-00000B000000}" name="Column11"/>
    <tableColumn id="12" xr3:uid="{00000000-0010-0000-1600-00000C000000}" name="Column12"/>
    <tableColumn id="13" xr3:uid="{00000000-0010-0000-1600-00000D000000}" name="Column13"/>
    <tableColumn id="14" xr3:uid="{00000000-0010-0000-1600-00000E000000}" name="Column14"/>
    <tableColumn id="15" xr3:uid="{00000000-0010-0000-1600-00000F000000}" name="Column15"/>
    <tableColumn id="16" xr3:uid="{00000000-0010-0000-1600-000010000000}" name="Column16"/>
    <tableColumn id="17" xr3:uid="{00000000-0010-0000-1600-000011000000}" name="Column17"/>
    <tableColumn id="18" xr3:uid="{00000000-0010-0000-1600-000012000000}" name="Column18"/>
    <tableColumn id="19" xr3:uid="{00000000-0010-0000-1600-000013000000}" name="Column19"/>
    <tableColumn id="20" xr3:uid="{00000000-0010-0000-1600-000014000000}" name="Column20"/>
    <tableColumn id="21" xr3:uid="{00000000-0010-0000-1600-000015000000}" name="Column21"/>
    <tableColumn id="22" xr3:uid="{00000000-0010-0000-1600-000016000000}" name="Column22"/>
    <tableColumn id="23" xr3:uid="{00000000-0010-0000-1600-000017000000}" name="Column23"/>
    <tableColumn id="24" xr3:uid="{00000000-0010-0000-1600-000018000000}" name="Column24"/>
    <tableColumn id="25" xr3:uid="{00000000-0010-0000-1600-000019000000}" name="Column25"/>
    <tableColumn id="26" xr3:uid="{00000000-0010-0000-1600-00001A000000}" name="Column26"/>
    <tableColumn id="27" xr3:uid="{00000000-0010-0000-1600-00001B000000}" name="Column27"/>
    <tableColumn id="28" xr3:uid="{00000000-0010-0000-1600-00001C000000}" name="Column28"/>
    <tableColumn id="29" xr3:uid="{00000000-0010-0000-1600-00001D000000}" name="Column29"/>
    <tableColumn id="30" xr3:uid="{00000000-0010-0000-1600-00001E000000}" name="Column30"/>
    <tableColumn id="31" xr3:uid="{00000000-0010-0000-1600-00001F000000}" name="Column31"/>
    <tableColumn id="32" xr3:uid="{00000000-0010-0000-1600-000020000000}" name="Column3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8" displayName="Table_28" ref="A89:AF89" headerRowCount="0" totalsRowShown="0">
  <tableColumns count="32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  <tableColumn id="12" xr3:uid="{00000000-0010-0000-1700-00000C000000}" name="Column12"/>
    <tableColumn id="13" xr3:uid="{00000000-0010-0000-1700-00000D000000}" name="Column13"/>
    <tableColumn id="14" xr3:uid="{00000000-0010-0000-1700-00000E000000}" name="Column14"/>
    <tableColumn id="15" xr3:uid="{00000000-0010-0000-1700-00000F000000}" name="Column15"/>
    <tableColumn id="16" xr3:uid="{00000000-0010-0000-1700-000010000000}" name="Column16"/>
    <tableColumn id="17" xr3:uid="{00000000-0010-0000-1700-000011000000}" name="Column17"/>
    <tableColumn id="18" xr3:uid="{00000000-0010-0000-1700-000012000000}" name="Column18"/>
    <tableColumn id="19" xr3:uid="{00000000-0010-0000-1700-000013000000}" name="Column19"/>
    <tableColumn id="20" xr3:uid="{00000000-0010-0000-1700-000014000000}" name="Column20"/>
    <tableColumn id="21" xr3:uid="{00000000-0010-0000-1700-000015000000}" name="Column21"/>
    <tableColumn id="22" xr3:uid="{00000000-0010-0000-1700-000016000000}" name="Column22"/>
    <tableColumn id="23" xr3:uid="{00000000-0010-0000-1700-000017000000}" name="Column23"/>
    <tableColumn id="24" xr3:uid="{00000000-0010-0000-1700-000018000000}" name="Column24"/>
    <tableColumn id="25" xr3:uid="{00000000-0010-0000-1700-000019000000}" name="Column25"/>
    <tableColumn id="26" xr3:uid="{00000000-0010-0000-1700-00001A000000}" name="Column26"/>
    <tableColumn id="27" xr3:uid="{00000000-0010-0000-1700-00001B000000}" name="Column27"/>
    <tableColumn id="28" xr3:uid="{00000000-0010-0000-1700-00001C000000}" name="Column28"/>
    <tableColumn id="29" xr3:uid="{00000000-0010-0000-1700-00001D000000}" name="Column29"/>
    <tableColumn id="30" xr3:uid="{00000000-0010-0000-1700-00001E000000}" name="Column30"/>
    <tableColumn id="31" xr3:uid="{00000000-0010-0000-1700-00001F000000}" name="Column31"/>
    <tableColumn id="32" xr3:uid="{00000000-0010-0000-1700-000020000000}" name="Column3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9" displayName="Table_29" ref="A91:AF92" headerRowCount="0" totalsRowShown="0">
  <tableColumns count="32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  <tableColumn id="8" xr3:uid="{00000000-0010-0000-1800-000008000000}" name="Column8"/>
    <tableColumn id="9" xr3:uid="{00000000-0010-0000-1800-000009000000}" name="Column9"/>
    <tableColumn id="10" xr3:uid="{00000000-0010-0000-1800-00000A000000}" name="Column10"/>
    <tableColumn id="11" xr3:uid="{00000000-0010-0000-1800-00000B000000}" name="Column11"/>
    <tableColumn id="12" xr3:uid="{00000000-0010-0000-1800-00000C000000}" name="Column12"/>
    <tableColumn id="13" xr3:uid="{00000000-0010-0000-1800-00000D000000}" name="Column13"/>
    <tableColumn id="14" xr3:uid="{00000000-0010-0000-1800-00000E000000}" name="Column14"/>
    <tableColumn id="15" xr3:uid="{00000000-0010-0000-1800-00000F000000}" name="Column15"/>
    <tableColumn id="16" xr3:uid="{00000000-0010-0000-1800-000010000000}" name="Column16"/>
    <tableColumn id="17" xr3:uid="{00000000-0010-0000-1800-000011000000}" name="Column17"/>
    <tableColumn id="18" xr3:uid="{00000000-0010-0000-1800-000012000000}" name="Column18"/>
    <tableColumn id="19" xr3:uid="{00000000-0010-0000-1800-000013000000}" name="Column19"/>
    <tableColumn id="20" xr3:uid="{00000000-0010-0000-1800-000014000000}" name="Column20"/>
    <tableColumn id="21" xr3:uid="{00000000-0010-0000-1800-000015000000}" name="Column21"/>
    <tableColumn id="22" xr3:uid="{00000000-0010-0000-1800-000016000000}" name="Column22"/>
    <tableColumn id="23" xr3:uid="{00000000-0010-0000-1800-000017000000}" name="Column23"/>
    <tableColumn id="24" xr3:uid="{00000000-0010-0000-1800-000018000000}" name="Column24"/>
    <tableColumn id="25" xr3:uid="{00000000-0010-0000-1800-000019000000}" name="Column25"/>
    <tableColumn id="26" xr3:uid="{00000000-0010-0000-1800-00001A000000}" name="Column26"/>
    <tableColumn id="27" xr3:uid="{00000000-0010-0000-1800-00001B000000}" name="Column27"/>
    <tableColumn id="28" xr3:uid="{00000000-0010-0000-1800-00001C000000}" name="Column28"/>
    <tableColumn id="29" xr3:uid="{00000000-0010-0000-1800-00001D000000}" name="Column29"/>
    <tableColumn id="30" xr3:uid="{00000000-0010-0000-1800-00001E000000}" name="Column30"/>
    <tableColumn id="31" xr3:uid="{00000000-0010-0000-1800-00001F000000}" name="Column31"/>
    <tableColumn id="32" xr3:uid="{00000000-0010-0000-1800-000020000000}" name="Column32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3" displayName="Table_3" ref="A45:AF45" headerRowCount="0" totalsRowShown="0">
  <tableColumns count="32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  <tableColumn id="10" xr3:uid="{00000000-0010-0000-1900-00000A000000}" name="Column10"/>
    <tableColumn id="11" xr3:uid="{00000000-0010-0000-1900-00000B000000}" name="Column11"/>
    <tableColumn id="12" xr3:uid="{00000000-0010-0000-1900-00000C000000}" name="Column12"/>
    <tableColumn id="13" xr3:uid="{00000000-0010-0000-1900-00000D000000}" name="Column13"/>
    <tableColumn id="14" xr3:uid="{00000000-0010-0000-1900-00000E000000}" name="Column14"/>
    <tableColumn id="15" xr3:uid="{00000000-0010-0000-1900-00000F000000}" name="Column15"/>
    <tableColumn id="16" xr3:uid="{00000000-0010-0000-1900-000010000000}" name="Column16"/>
    <tableColumn id="17" xr3:uid="{00000000-0010-0000-1900-000011000000}" name="Column17"/>
    <tableColumn id="18" xr3:uid="{00000000-0010-0000-1900-000012000000}" name="Column18"/>
    <tableColumn id="19" xr3:uid="{00000000-0010-0000-1900-000013000000}" name="Column19"/>
    <tableColumn id="20" xr3:uid="{00000000-0010-0000-1900-000014000000}" name="Column20"/>
    <tableColumn id="21" xr3:uid="{00000000-0010-0000-1900-000015000000}" name="Column21"/>
    <tableColumn id="22" xr3:uid="{00000000-0010-0000-1900-000016000000}" name="Column22"/>
    <tableColumn id="23" xr3:uid="{00000000-0010-0000-1900-000017000000}" name="Column23"/>
    <tableColumn id="24" xr3:uid="{00000000-0010-0000-1900-000018000000}" name="Column24"/>
    <tableColumn id="25" xr3:uid="{00000000-0010-0000-1900-000019000000}" name="Column25"/>
    <tableColumn id="26" xr3:uid="{00000000-0010-0000-1900-00001A000000}" name="Column26"/>
    <tableColumn id="27" xr3:uid="{00000000-0010-0000-1900-00001B000000}" name="Column27"/>
    <tableColumn id="28" xr3:uid="{00000000-0010-0000-1900-00001C000000}" name="Column28"/>
    <tableColumn id="29" xr3:uid="{00000000-0010-0000-1900-00001D000000}" name="Column29"/>
    <tableColumn id="30" xr3:uid="{00000000-0010-0000-1900-00001E000000}" name="Column30"/>
    <tableColumn id="31" xr3:uid="{00000000-0010-0000-1900-00001F000000}" name="Column31"/>
    <tableColumn id="32" xr3:uid="{00000000-0010-0000-1900-000020000000}" name="Column3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30" displayName="Table_30" ref="A94:AF94" headerRowCount="0" totalsRowShown="0">
  <tableColumns count="32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  <tableColumn id="14" xr3:uid="{00000000-0010-0000-1A00-00000E000000}" name="Column14"/>
    <tableColumn id="15" xr3:uid="{00000000-0010-0000-1A00-00000F000000}" name="Column15"/>
    <tableColumn id="16" xr3:uid="{00000000-0010-0000-1A00-000010000000}" name="Column16"/>
    <tableColumn id="17" xr3:uid="{00000000-0010-0000-1A00-000011000000}" name="Column17"/>
    <tableColumn id="18" xr3:uid="{00000000-0010-0000-1A00-000012000000}" name="Column18"/>
    <tableColumn id="19" xr3:uid="{00000000-0010-0000-1A00-000013000000}" name="Column19"/>
    <tableColumn id="20" xr3:uid="{00000000-0010-0000-1A00-000014000000}" name="Column20"/>
    <tableColumn id="21" xr3:uid="{00000000-0010-0000-1A00-000015000000}" name="Column21"/>
    <tableColumn id="22" xr3:uid="{00000000-0010-0000-1A00-000016000000}" name="Column22"/>
    <tableColumn id="23" xr3:uid="{00000000-0010-0000-1A00-000017000000}" name="Column23"/>
    <tableColumn id="24" xr3:uid="{00000000-0010-0000-1A00-000018000000}" name="Column24"/>
    <tableColumn id="25" xr3:uid="{00000000-0010-0000-1A00-000019000000}" name="Column25"/>
    <tableColumn id="26" xr3:uid="{00000000-0010-0000-1A00-00001A000000}" name="Column26"/>
    <tableColumn id="27" xr3:uid="{00000000-0010-0000-1A00-00001B000000}" name="Column27"/>
    <tableColumn id="28" xr3:uid="{00000000-0010-0000-1A00-00001C000000}" name="Column28"/>
    <tableColumn id="29" xr3:uid="{00000000-0010-0000-1A00-00001D000000}" name="Column29"/>
    <tableColumn id="30" xr3:uid="{00000000-0010-0000-1A00-00001E000000}" name="Column30"/>
    <tableColumn id="31" xr3:uid="{00000000-0010-0000-1A00-00001F000000}" name="Column31"/>
    <tableColumn id="32" xr3:uid="{00000000-0010-0000-1A00-000020000000}" name="Column32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31" displayName="Table_31" ref="A96:AF96" headerRowCount="0" totalsRowShown="0">
  <tableColumns count="32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  <tableColumn id="9" xr3:uid="{00000000-0010-0000-1B00-000009000000}" name="Column9"/>
    <tableColumn id="10" xr3:uid="{00000000-0010-0000-1B00-00000A000000}" name="Column10"/>
    <tableColumn id="11" xr3:uid="{00000000-0010-0000-1B00-00000B000000}" name="Column11"/>
    <tableColumn id="12" xr3:uid="{00000000-0010-0000-1B00-00000C000000}" name="Column12"/>
    <tableColumn id="13" xr3:uid="{00000000-0010-0000-1B00-00000D000000}" name="Column13"/>
    <tableColumn id="14" xr3:uid="{00000000-0010-0000-1B00-00000E000000}" name="Column14"/>
    <tableColumn id="15" xr3:uid="{00000000-0010-0000-1B00-00000F000000}" name="Column15"/>
    <tableColumn id="16" xr3:uid="{00000000-0010-0000-1B00-000010000000}" name="Column16"/>
    <tableColumn id="17" xr3:uid="{00000000-0010-0000-1B00-000011000000}" name="Column17"/>
    <tableColumn id="18" xr3:uid="{00000000-0010-0000-1B00-000012000000}" name="Column18"/>
    <tableColumn id="19" xr3:uid="{00000000-0010-0000-1B00-000013000000}" name="Column19"/>
    <tableColumn id="20" xr3:uid="{00000000-0010-0000-1B00-000014000000}" name="Column20"/>
    <tableColumn id="21" xr3:uid="{00000000-0010-0000-1B00-000015000000}" name="Column21"/>
    <tableColumn id="22" xr3:uid="{00000000-0010-0000-1B00-000016000000}" name="Column22"/>
    <tableColumn id="23" xr3:uid="{00000000-0010-0000-1B00-000017000000}" name="Column23"/>
    <tableColumn id="24" xr3:uid="{00000000-0010-0000-1B00-000018000000}" name="Column24"/>
    <tableColumn id="25" xr3:uid="{00000000-0010-0000-1B00-000019000000}" name="Column25"/>
    <tableColumn id="26" xr3:uid="{00000000-0010-0000-1B00-00001A000000}" name="Column26"/>
    <tableColumn id="27" xr3:uid="{00000000-0010-0000-1B00-00001B000000}" name="Column27"/>
    <tableColumn id="28" xr3:uid="{00000000-0010-0000-1B00-00001C000000}" name="Column28"/>
    <tableColumn id="29" xr3:uid="{00000000-0010-0000-1B00-00001D000000}" name="Column29"/>
    <tableColumn id="30" xr3:uid="{00000000-0010-0000-1B00-00001E000000}" name="Column30"/>
    <tableColumn id="31" xr3:uid="{00000000-0010-0000-1B00-00001F000000}" name="Column31"/>
    <tableColumn id="32" xr3:uid="{00000000-0010-0000-1B00-000020000000}" name="Column3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32" displayName="Table_32" ref="A97:AF97" headerRowCount="0" totalsRowShown="0">
  <tableColumns count="32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  <tableColumn id="10" xr3:uid="{00000000-0010-0000-1C00-00000A000000}" name="Column10"/>
    <tableColumn id="11" xr3:uid="{00000000-0010-0000-1C00-00000B000000}" name="Column11"/>
    <tableColumn id="12" xr3:uid="{00000000-0010-0000-1C00-00000C000000}" name="Column12"/>
    <tableColumn id="13" xr3:uid="{00000000-0010-0000-1C00-00000D000000}" name="Column13"/>
    <tableColumn id="14" xr3:uid="{00000000-0010-0000-1C00-00000E000000}" name="Column14"/>
    <tableColumn id="15" xr3:uid="{00000000-0010-0000-1C00-00000F000000}" name="Column15"/>
    <tableColumn id="16" xr3:uid="{00000000-0010-0000-1C00-000010000000}" name="Column16"/>
    <tableColumn id="17" xr3:uid="{00000000-0010-0000-1C00-000011000000}" name="Column17"/>
    <tableColumn id="18" xr3:uid="{00000000-0010-0000-1C00-000012000000}" name="Column18"/>
    <tableColumn id="19" xr3:uid="{00000000-0010-0000-1C00-000013000000}" name="Column19"/>
    <tableColumn id="20" xr3:uid="{00000000-0010-0000-1C00-000014000000}" name="Column20"/>
    <tableColumn id="21" xr3:uid="{00000000-0010-0000-1C00-000015000000}" name="Column21"/>
    <tableColumn id="22" xr3:uid="{00000000-0010-0000-1C00-000016000000}" name="Column22"/>
    <tableColumn id="23" xr3:uid="{00000000-0010-0000-1C00-000017000000}" name="Column23"/>
    <tableColumn id="24" xr3:uid="{00000000-0010-0000-1C00-000018000000}" name="Column24"/>
    <tableColumn id="25" xr3:uid="{00000000-0010-0000-1C00-000019000000}" name="Column25"/>
    <tableColumn id="26" xr3:uid="{00000000-0010-0000-1C00-00001A000000}" name="Column26"/>
    <tableColumn id="27" xr3:uid="{00000000-0010-0000-1C00-00001B000000}" name="Column27"/>
    <tableColumn id="28" xr3:uid="{00000000-0010-0000-1C00-00001C000000}" name="Column28"/>
    <tableColumn id="29" xr3:uid="{00000000-0010-0000-1C00-00001D000000}" name="Column29"/>
    <tableColumn id="30" xr3:uid="{00000000-0010-0000-1C00-00001E000000}" name="Column30"/>
    <tableColumn id="31" xr3:uid="{00000000-0010-0000-1C00-00001F000000}" name="Column31"/>
    <tableColumn id="32" xr3:uid="{00000000-0010-0000-1C00-000020000000}" name="Column32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4" displayName="Table_4" ref="A46:AF46" headerRowCount="0" totalsRowShown="0">
  <tableColumns count="32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  <tableColumn id="9" xr3:uid="{00000000-0010-0000-1D00-000009000000}" name="Column9"/>
    <tableColumn id="10" xr3:uid="{00000000-0010-0000-1D00-00000A000000}" name="Column10"/>
    <tableColumn id="11" xr3:uid="{00000000-0010-0000-1D00-00000B000000}" name="Column11"/>
    <tableColumn id="12" xr3:uid="{00000000-0010-0000-1D00-00000C000000}" name="Column12"/>
    <tableColumn id="13" xr3:uid="{00000000-0010-0000-1D00-00000D000000}" name="Column13"/>
    <tableColumn id="14" xr3:uid="{00000000-0010-0000-1D00-00000E000000}" name="Column14"/>
    <tableColumn id="15" xr3:uid="{00000000-0010-0000-1D00-00000F000000}" name="Column15"/>
    <tableColumn id="16" xr3:uid="{00000000-0010-0000-1D00-000010000000}" name="Column16"/>
    <tableColumn id="17" xr3:uid="{00000000-0010-0000-1D00-000011000000}" name="Column17"/>
    <tableColumn id="18" xr3:uid="{00000000-0010-0000-1D00-000012000000}" name="Column18"/>
    <tableColumn id="19" xr3:uid="{00000000-0010-0000-1D00-000013000000}" name="Column19"/>
    <tableColumn id="20" xr3:uid="{00000000-0010-0000-1D00-000014000000}" name="Column20"/>
    <tableColumn id="21" xr3:uid="{00000000-0010-0000-1D00-000015000000}" name="Column21"/>
    <tableColumn id="22" xr3:uid="{00000000-0010-0000-1D00-000016000000}" name="Column22"/>
    <tableColumn id="23" xr3:uid="{00000000-0010-0000-1D00-000017000000}" name="Column23"/>
    <tableColumn id="24" xr3:uid="{00000000-0010-0000-1D00-000018000000}" name="Column24"/>
    <tableColumn id="25" xr3:uid="{00000000-0010-0000-1D00-000019000000}" name="Column25"/>
    <tableColumn id="26" xr3:uid="{00000000-0010-0000-1D00-00001A000000}" name="Column26"/>
    <tableColumn id="27" xr3:uid="{00000000-0010-0000-1D00-00001B000000}" name="Column27"/>
    <tableColumn id="28" xr3:uid="{00000000-0010-0000-1D00-00001C000000}" name="Column28"/>
    <tableColumn id="29" xr3:uid="{00000000-0010-0000-1D00-00001D000000}" name="Column29"/>
    <tableColumn id="30" xr3:uid="{00000000-0010-0000-1D00-00001E000000}" name="Column30"/>
    <tableColumn id="31" xr3:uid="{00000000-0010-0000-1D00-00001F000000}" name="Column31"/>
    <tableColumn id="32" xr3:uid="{00000000-0010-0000-1D00-000020000000}" name="Column32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5" displayName="Table_5" ref="A48:AF48" headerRowCount="0" totalsRowShown="0">
  <tableColumns count="32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  <tableColumn id="9" xr3:uid="{00000000-0010-0000-1E00-000009000000}" name="Column9"/>
    <tableColumn id="10" xr3:uid="{00000000-0010-0000-1E00-00000A000000}" name="Column10"/>
    <tableColumn id="11" xr3:uid="{00000000-0010-0000-1E00-00000B000000}" name="Column11"/>
    <tableColumn id="12" xr3:uid="{00000000-0010-0000-1E00-00000C000000}" name="Column12"/>
    <tableColumn id="13" xr3:uid="{00000000-0010-0000-1E00-00000D000000}" name="Column13"/>
    <tableColumn id="14" xr3:uid="{00000000-0010-0000-1E00-00000E000000}" name="Column14"/>
    <tableColumn id="15" xr3:uid="{00000000-0010-0000-1E00-00000F000000}" name="Column15"/>
    <tableColumn id="16" xr3:uid="{00000000-0010-0000-1E00-000010000000}" name="Column16"/>
    <tableColumn id="17" xr3:uid="{00000000-0010-0000-1E00-000011000000}" name="Column17"/>
    <tableColumn id="18" xr3:uid="{00000000-0010-0000-1E00-000012000000}" name="Column18"/>
    <tableColumn id="19" xr3:uid="{00000000-0010-0000-1E00-000013000000}" name="Column19"/>
    <tableColumn id="20" xr3:uid="{00000000-0010-0000-1E00-000014000000}" name="Column20"/>
    <tableColumn id="21" xr3:uid="{00000000-0010-0000-1E00-000015000000}" name="Column21"/>
    <tableColumn id="22" xr3:uid="{00000000-0010-0000-1E00-000016000000}" name="Column22"/>
    <tableColumn id="23" xr3:uid="{00000000-0010-0000-1E00-000017000000}" name="Column23"/>
    <tableColumn id="24" xr3:uid="{00000000-0010-0000-1E00-000018000000}" name="Column24"/>
    <tableColumn id="25" xr3:uid="{00000000-0010-0000-1E00-000019000000}" name="Column25"/>
    <tableColumn id="26" xr3:uid="{00000000-0010-0000-1E00-00001A000000}" name="Column26"/>
    <tableColumn id="27" xr3:uid="{00000000-0010-0000-1E00-00001B000000}" name="Column27"/>
    <tableColumn id="28" xr3:uid="{00000000-0010-0000-1E00-00001C000000}" name="Column28"/>
    <tableColumn id="29" xr3:uid="{00000000-0010-0000-1E00-00001D000000}" name="Column29"/>
    <tableColumn id="30" xr3:uid="{00000000-0010-0000-1E00-00001E000000}" name="Column30"/>
    <tableColumn id="31" xr3:uid="{00000000-0010-0000-1E00-00001F000000}" name="Column31"/>
    <tableColumn id="32" xr3:uid="{00000000-0010-0000-1E00-000020000000}" name="Column32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6" displayName="Table_6" ref="A52:AF52" headerRowCount="0" totalsRowShown="0">
  <tableColumns count="32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  <tableColumn id="10" xr3:uid="{00000000-0010-0000-1F00-00000A000000}" name="Column10"/>
    <tableColumn id="11" xr3:uid="{00000000-0010-0000-1F00-00000B000000}" name="Column11"/>
    <tableColumn id="12" xr3:uid="{00000000-0010-0000-1F00-00000C000000}" name="Column12"/>
    <tableColumn id="13" xr3:uid="{00000000-0010-0000-1F00-00000D000000}" name="Column13"/>
    <tableColumn id="14" xr3:uid="{00000000-0010-0000-1F00-00000E000000}" name="Column14"/>
    <tableColumn id="15" xr3:uid="{00000000-0010-0000-1F00-00000F000000}" name="Column15"/>
    <tableColumn id="16" xr3:uid="{00000000-0010-0000-1F00-000010000000}" name="Column16"/>
    <tableColumn id="17" xr3:uid="{00000000-0010-0000-1F00-000011000000}" name="Column17"/>
    <tableColumn id="18" xr3:uid="{00000000-0010-0000-1F00-000012000000}" name="Column18"/>
    <tableColumn id="19" xr3:uid="{00000000-0010-0000-1F00-000013000000}" name="Column19"/>
    <tableColumn id="20" xr3:uid="{00000000-0010-0000-1F00-000014000000}" name="Column20"/>
    <tableColumn id="21" xr3:uid="{00000000-0010-0000-1F00-000015000000}" name="Column21"/>
    <tableColumn id="22" xr3:uid="{00000000-0010-0000-1F00-000016000000}" name="Column22"/>
    <tableColumn id="23" xr3:uid="{00000000-0010-0000-1F00-000017000000}" name="Column23"/>
    <tableColumn id="24" xr3:uid="{00000000-0010-0000-1F00-000018000000}" name="Column24"/>
    <tableColumn id="25" xr3:uid="{00000000-0010-0000-1F00-000019000000}" name="Column25"/>
    <tableColumn id="26" xr3:uid="{00000000-0010-0000-1F00-00001A000000}" name="Column26"/>
    <tableColumn id="27" xr3:uid="{00000000-0010-0000-1F00-00001B000000}" name="Column27"/>
    <tableColumn id="28" xr3:uid="{00000000-0010-0000-1F00-00001C000000}" name="Column28"/>
    <tableColumn id="29" xr3:uid="{00000000-0010-0000-1F00-00001D000000}" name="Column29"/>
    <tableColumn id="30" xr3:uid="{00000000-0010-0000-1F00-00001E000000}" name="Column30"/>
    <tableColumn id="31" xr3:uid="{00000000-0010-0000-1F00-00001F000000}" name="Column31"/>
    <tableColumn id="32" xr3:uid="{00000000-0010-0000-1F00-000020000000}" name="Column32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7" displayName="Table_7" ref="A54:AF54" headerRowCount="0" totalsRowShown="0">
  <tableColumns count="32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  <tableColumn id="7" xr3:uid="{00000000-0010-0000-2000-000007000000}" name="Column7"/>
    <tableColumn id="8" xr3:uid="{00000000-0010-0000-2000-000008000000}" name="Column8"/>
    <tableColumn id="9" xr3:uid="{00000000-0010-0000-2000-000009000000}" name="Column9"/>
    <tableColumn id="10" xr3:uid="{00000000-0010-0000-2000-00000A000000}" name="Column10"/>
    <tableColumn id="11" xr3:uid="{00000000-0010-0000-2000-00000B000000}" name="Column11"/>
    <tableColumn id="12" xr3:uid="{00000000-0010-0000-2000-00000C000000}" name="Column12"/>
    <tableColumn id="13" xr3:uid="{00000000-0010-0000-2000-00000D000000}" name="Column13"/>
    <tableColumn id="14" xr3:uid="{00000000-0010-0000-2000-00000E000000}" name="Column14"/>
    <tableColumn id="15" xr3:uid="{00000000-0010-0000-2000-00000F000000}" name="Column15"/>
    <tableColumn id="16" xr3:uid="{00000000-0010-0000-2000-000010000000}" name="Column16"/>
    <tableColumn id="17" xr3:uid="{00000000-0010-0000-2000-000011000000}" name="Column17"/>
    <tableColumn id="18" xr3:uid="{00000000-0010-0000-2000-000012000000}" name="Column18"/>
    <tableColumn id="19" xr3:uid="{00000000-0010-0000-2000-000013000000}" name="Column19"/>
    <tableColumn id="20" xr3:uid="{00000000-0010-0000-2000-000014000000}" name="Column20"/>
    <tableColumn id="21" xr3:uid="{00000000-0010-0000-2000-000015000000}" name="Column21"/>
    <tableColumn id="22" xr3:uid="{00000000-0010-0000-2000-000016000000}" name="Column22"/>
    <tableColumn id="23" xr3:uid="{00000000-0010-0000-2000-000017000000}" name="Column23"/>
    <tableColumn id="24" xr3:uid="{00000000-0010-0000-2000-000018000000}" name="Column24"/>
    <tableColumn id="25" xr3:uid="{00000000-0010-0000-2000-000019000000}" name="Column25"/>
    <tableColumn id="26" xr3:uid="{00000000-0010-0000-2000-00001A000000}" name="Column26"/>
    <tableColumn id="27" xr3:uid="{00000000-0010-0000-2000-00001B000000}" name="Column27"/>
    <tableColumn id="28" xr3:uid="{00000000-0010-0000-2000-00001C000000}" name="Column28"/>
    <tableColumn id="29" xr3:uid="{00000000-0010-0000-2000-00001D000000}" name="Column29"/>
    <tableColumn id="30" xr3:uid="{00000000-0010-0000-2000-00001E000000}" name="Column30"/>
    <tableColumn id="31" xr3:uid="{00000000-0010-0000-2000-00001F000000}" name="Column31"/>
    <tableColumn id="32" xr3:uid="{00000000-0010-0000-2000-000020000000}" name="Column32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8" displayName="Table_8" ref="A55:AF55" headerRowCount="0" totalsRowShown="0">
  <tableColumns count="32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  <tableColumn id="6" xr3:uid="{00000000-0010-0000-2100-000006000000}" name="Column6"/>
    <tableColumn id="7" xr3:uid="{00000000-0010-0000-2100-000007000000}" name="Column7"/>
    <tableColumn id="8" xr3:uid="{00000000-0010-0000-2100-000008000000}" name="Column8"/>
    <tableColumn id="9" xr3:uid="{00000000-0010-0000-2100-000009000000}" name="Column9"/>
    <tableColumn id="10" xr3:uid="{00000000-0010-0000-2100-00000A000000}" name="Column10"/>
    <tableColumn id="11" xr3:uid="{00000000-0010-0000-2100-00000B000000}" name="Column11"/>
    <tableColumn id="12" xr3:uid="{00000000-0010-0000-2100-00000C000000}" name="Column12"/>
    <tableColumn id="13" xr3:uid="{00000000-0010-0000-2100-00000D000000}" name="Column13"/>
    <tableColumn id="14" xr3:uid="{00000000-0010-0000-2100-00000E000000}" name="Column14"/>
    <tableColumn id="15" xr3:uid="{00000000-0010-0000-2100-00000F000000}" name="Column15"/>
    <tableColumn id="16" xr3:uid="{00000000-0010-0000-2100-000010000000}" name="Column16"/>
    <tableColumn id="17" xr3:uid="{00000000-0010-0000-2100-000011000000}" name="Column17"/>
    <tableColumn id="18" xr3:uid="{00000000-0010-0000-2100-000012000000}" name="Column18"/>
    <tableColumn id="19" xr3:uid="{00000000-0010-0000-2100-000013000000}" name="Column19"/>
    <tableColumn id="20" xr3:uid="{00000000-0010-0000-2100-000014000000}" name="Column20"/>
    <tableColumn id="21" xr3:uid="{00000000-0010-0000-2100-000015000000}" name="Column21"/>
    <tableColumn id="22" xr3:uid="{00000000-0010-0000-2100-000016000000}" name="Column22"/>
    <tableColumn id="23" xr3:uid="{00000000-0010-0000-2100-000017000000}" name="Column23"/>
    <tableColumn id="24" xr3:uid="{00000000-0010-0000-2100-000018000000}" name="Column24"/>
    <tableColumn id="25" xr3:uid="{00000000-0010-0000-2100-000019000000}" name="Column25"/>
    <tableColumn id="26" xr3:uid="{00000000-0010-0000-2100-00001A000000}" name="Column26"/>
    <tableColumn id="27" xr3:uid="{00000000-0010-0000-2100-00001B000000}" name="Column27"/>
    <tableColumn id="28" xr3:uid="{00000000-0010-0000-2100-00001C000000}" name="Column28"/>
    <tableColumn id="29" xr3:uid="{00000000-0010-0000-2100-00001D000000}" name="Column29"/>
    <tableColumn id="30" xr3:uid="{00000000-0010-0000-2100-00001E000000}" name="Column30"/>
    <tableColumn id="31" xr3:uid="{00000000-0010-0000-2100-00001F000000}" name="Column31"/>
    <tableColumn id="32" xr3:uid="{00000000-0010-0000-2100-000020000000}" name="Column32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9" displayName="Table_9" ref="A56:AF56" headerRowCount="0" totalsRowShown="0">
  <tableColumns count="32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  <tableColumn id="6" xr3:uid="{00000000-0010-0000-2200-000006000000}" name="Column6"/>
    <tableColumn id="7" xr3:uid="{00000000-0010-0000-2200-000007000000}" name="Column7"/>
    <tableColumn id="8" xr3:uid="{00000000-0010-0000-2200-000008000000}" name="Column8"/>
    <tableColumn id="9" xr3:uid="{00000000-0010-0000-2200-000009000000}" name="Column9"/>
    <tableColumn id="10" xr3:uid="{00000000-0010-0000-2200-00000A000000}" name="Column10"/>
    <tableColumn id="11" xr3:uid="{00000000-0010-0000-2200-00000B000000}" name="Column11"/>
    <tableColumn id="12" xr3:uid="{00000000-0010-0000-2200-00000C000000}" name="Column12"/>
    <tableColumn id="13" xr3:uid="{00000000-0010-0000-2200-00000D000000}" name="Column13"/>
    <tableColumn id="14" xr3:uid="{00000000-0010-0000-2200-00000E000000}" name="Column14"/>
    <tableColumn id="15" xr3:uid="{00000000-0010-0000-2200-00000F000000}" name="Column15"/>
    <tableColumn id="16" xr3:uid="{00000000-0010-0000-2200-000010000000}" name="Column16"/>
    <tableColumn id="17" xr3:uid="{00000000-0010-0000-2200-000011000000}" name="Column17"/>
    <tableColumn id="18" xr3:uid="{00000000-0010-0000-2200-000012000000}" name="Column18"/>
    <tableColumn id="19" xr3:uid="{00000000-0010-0000-2200-000013000000}" name="Column19"/>
    <tableColumn id="20" xr3:uid="{00000000-0010-0000-2200-000014000000}" name="Column20"/>
    <tableColumn id="21" xr3:uid="{00000000-0010-0000-2200-000015000000}" name="Column21"/>
    <tableColumn id="22" xr3:uid="{00000000-0010-0000-2200-000016000000}" name="Column22"/>
    <tableColumn id="23" xr3:uid="{00000000-0010-0000-2200-000017000000}" name="Column23"/>
    <tableColumn id="24" xr3:uid="{00000000-0010-0000-2200-000018000000}" name="Column24"/>
    <tableColumn id="25" xr3:uid="{00000000-0010-0000-2200-000019000000}" name="Column25"/>
    <tableColumn id="26" xr3:uid="{00000000-0010-0000-2200-00001A000000}" name="Column26"/>
    <tableColumn id="27" xr3:uid="{00000000-0010-0000-2200-00001B000000}" name="Column27"/>
    <tableColumn id="28" xr3:uid="{00000000-0010-0000-2200-00001C000000}" name="Column28"/>
    <tableColumn id="29" xr3:uid="{00000000-0010-0000-2200-00001D000000}" name="Column29"/>
    <tableColumn id="30" xr3:uid="{00000000-0010-0000-2200-00001E000000}" name="Column30"/>
    <tableColumn id="31" xr3:uid="{00000000-0010-0000-2200-00001F000000}" name="Column31"/>
    <tableColumn id="32" xr3:uid="{00000000-0010-0000-2200-000020000000}" name="Column3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49"/>
  <sheetViews>
    <sheetView tabSelected="1" zoomScaleNormal="100" workbookViewId="0">
      <pane xSplit="7" ySplit="1" topLeftCell="V39" activePane="bottomRight" state="frozen"/>
      <selection pane="topRight" activeCell="X1" sqref="X1"/>
      <selection pane="bottomLeft" activeCell="A87" sqref="A87"/>
      <selection pane="bottomRight" activeCell="G77" sqref="G77"/>
    </sheetView>
  </sheetViews>
  <sheetFormatPr baseColWidth="10" defaultColWidth="12.6640625" defaultRowHeight="13" x14ac:dyDescent="0.15"/>
  <cols>
    <col min="1" max="1" width="24.33203125" hidden="1" customWidth="1"/>
    <col min="2" max="2" width="18.83203125" hidden="1" customWidth="1"/>
    <col min="3" max="3" width="5.6640625" customWidth="1"/>
    <col min="4" max="4" width="24.1640625" customWidth="1"/>
    <col min="5" max="5" width="26.6640625" customWidth="1"/>
    <col min="6" max="6" width="29.6640625" customWidth="1"/>
    <col min="7" max="7" width="43.83203125" customWidth="1"/>
    <col min="8" max="8" width="9.1640625" hidden="1" customWidth="1"/>
    <col min="9" max="9" width="10" hidden="1" customWidth="1"/>
    <col min="10" max="10" width="8.6640625" hidden="1" customWidth="1"/>
    <col min="11" max="11" width="7.83203125" hidden="1" customWidth="1"/>
    <col min="12" max="12" width="8.83203125" hidden="1" customWidth="1"/>
    <col min="13" max="15" width="8.1640625" hidden="1" customWidth="1"/>
    <col min="16" max="16" width="9" hidden="1" customWidth="1"/>
    <col min="17" max="17" width="8.83203125" hidden="1" customWidth="1"/>
    <col min="18" max="18" width="9.6640625" hidden="1" customWidth="1"/>
    <col min="19" max="19" width="9.5" hidden="1" customWidth="1"/>
    <col min="20" max="20" width="8.83203125" hidden="1" customWidth="1"/>
    <col min="21" max="21" width="8.1640625" hidden="1" customWidth="1"/>
    <col min="22" max="22" width="10.5" customWidth="1"/>
    <col min="23" max="23" width="32.33203125" customWidth="1"/>
    <col min="24" max="24" width="44.5" customWidth="1"/>
    <col min="25" max="25" width="14.6640625" customWidth="1"/>
    <col min="26" max="26" width="13.5" customWidth="1"/>
    <col min="27" max="27" width="17.5" hidden="1" customWidth="1"/>
    <col min="28" max="28" width="16.6640625" hidden="1" customWidth="1"/>
    <col min="29" max="29" width="19" hidden="1" customWidth="1"/>
    <col min="30" max="30" width="37.6640625" hidden="1" customWidth="1"/>
    <col min="31" max="31" width="18.83203125" hidden="1" customWidth="1"/>
    <col min="32" max="32" width="17.6640625" customWidth="1"/>
    <col min="33" max="38" width="18.83203125" customWidth="1"/>
  </cols>
  <sheetData>
    <row r="1" spans="1:38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1" t="s">
        <v>22</v>
      </c>
      <c r="X1" s="5" t="s">
        <v>23</v>
      </c>
      <c r="Y1" s="6" t="s">
        <v>24</v>
      </c>
      <c r="Z1" s="6" t="s">
        <v>25</v>
      </c>
      <c r="AA1" s="1" t="s">
        <v>26</v>
      </c>
      <c r="AB1" s="1" t="s">
        <v>27</v>
      </c>
      <c r="AC1" s="7" t="s">
        <v>28</v>
      </c>
      <c r="AD1" s="1" t="s">
        <v>29</v>
      </c>
      <c r="AE1" s="1" t="s">
        <v>30</v>
      </c>
      <c r="AF1" s="7" t="s">
        <v>31</v>
      </c>
    </row>
    <row r="2" spans="1:38" ht="22.5" hidden="1" customHeight="1" x14ac:dyDescent="0.15">
      <c r="A2" s="8">
        <v>46093.445327673602</v>
      </c>
      <c r="B2" s="9" t="s">
        <v>32</v>
      </c>
      <c r="C2" s="9">
        <v>1</v>
      </c>
      <c r="D2" s="9" t="s">
        <v>33</v>
      </c>
      <c r="E2" s="10"/>
      <c r="F2" s="10" t="s">
        <v>34</v>
      </c>
      <c r="G2" s="11"/>
      <c r="H2" s="12">
        <v>4</v>
      </c>
      <c r="I2" s="12">
        <v>4</v>
      </c>
      <c r="J2" s="12"/>
      <c r="K2" s="12"/>
      <c r="L2" s="12">
        <v>4</v>
      </c>
      <c r="M2" s="12">
        <v>4</v>
      </c>
      <c r="N2" s="12"/>
      <c r="O2" s="12"/>
      <c r="P2" s="12"/>
      <c r="Q2" s="12"/>
      <c r="R2" s="12"/>
      <c r="S2" s="12"/>
      <c r="T2" s="12"/>
      <c r="U2" s="12">
        <v>2</v>
      </c>
      <c r="V2" s="13">
        <v>16</v>
      </c>
      <c r="W2" s="9"/>
      <c r="X2" s="9"/>
      <c r="Y2" s="12"/>
      <c r="Z2" s="12"/>
      <c r="AA2" s="9" t="s">
        <v>35</v>
      </c>
      <c r="AB2" s="9" t="s">
        <v>36</v>
      </c>
      <c r="AC2" s="12">
        <v>3482395743</v>
      </c>
      <c r="AD2" s="9" t="s">
        <v>32</v>
      </c>
      <c r="AE2" s="9" t="s">
        <v>37</v>
      </c>
      <c r="AF2" s="12" t="s">
        <v>38</v>
      </c>
      <c r="AG2" s="14"/>
      <c r="AH2" s="14"/>
      <c r="AI2" s="14"/>
      <c r="AJ2" s="14"/>
      <c r="AK2" s="14"/>
      <c r="AL2" s="14"/>
    </row>
    <row r="3" spans="1:38" ht="22.5" hidden="1" customHeight="1" x14ac:dyDescent="0.15">
      <c r="A3" s="15">
        <v>46103.512856157402</v>
      </c>
      <c r="B3" s="16" t="s">
        <v>39</v>
      </c>
      <c r="C3" s="16">
        <v>2</v>
      </c>
      <c r="D3" s="16" t="s">
        <v>40</v>
      </c>
      <c r="E3" s="17"/>
      <c r="F3" s="17" t="s">
        <v>41</v>
      </c>
      <c r="G3" s="1"/>
      <c r="H3" s="7">
        <v>4</v>
      </c>
      <c r="I3" s="7">
        <v>4</v>
      </c>
      <c r="J3" s="7">
        <v>4</v>
      </c>
      <c r="K3" s="7">
        <v>4</v>
      </c>
      <c r="L3" s="7">
        <v>4</v>
      </c>
      <c r="M3" s="7">
        <v>4</v>
      </c>
      <c r="N3" s="7"/>
      <c r="O3" s="7"/>
      <c r="P3" s="7"/>
      <c r="Q3" s="7"/>
      <c r="R3" s="7"/>
      <c r="S3" s="7"/>
      <c r="T3" s="7">
        <v>5</v>
      </c>
      <c r="U3" s="7">
        <v>3</v>
      </c>
      <c r="V3" s="4">
        <v>32</v>
      </c>
      <c r="W3" s="16" t="s">
        <v>42</v>
      </c>
      <c r="X3" s="16" t="s">
        <v>43</v>
      </c>
      <c r="Y3" s="7"/>
      <c r="Z3" s="7"/>
      <c r="AA3" s="16" t="s">
        <v>44</v>
      </c>
      <c r="AB3" s="16" t="s">
        <v>45</v>
      </c>
      <c r="AC3" s="7" t="s">
        <v>46</v>
      </c>
      <c r="AD3" s="16" t="s">
        <v>39</v>
      </c>
      <c r="AE3" s="16" t="s">
        <v>47</v>
      </c>
      <c r="AF3" s="7" t="s">
        <v>48</v>
      </c>
    </row>
    <row r="4" spans="1:38" ht="22.5" hidden="1" customHeight="1" x14ac:dyDescent="0.15">
      <c r="A4" s="18">
        <v>46103.906393761601</v>
      </c>
      <c r="B4" s="19" t="s">
        <v>49</v>
      </c>
      <c r="C4" s="19">
        <v>3</v>
      </c>
      <c r="D4" s="19" t="s">
        <v>50</v>
      </c>
      <c r="E4" s="20"/>
      <c r="F4" s="20" t="s">
        <v>51</v>
      </c>
      <c r="G4" s="21"/>
      <c r="H4" s="22">
        <v>4</v>
      </c>
      <c r="I4" s="22">
        <v>4</v>
      </c>
      <c r="J4" s="22">
        <v>4</v>
      </c>
      <c r="K4" s="22">
        <v>4</v>
      </c>
      <c r="L4" s="22">
        <v>4</v>
      </c>
      <c r="M4" s="22"/>
      <c r="N4" s="22"/>
      <c r="O4" s="22"/>
      <c r="P4" s="22"/>
      <c r="Q4" s="22"/>
      <c r="R4" s="22"/>
      <c r="S4" s="22"/>
      <c r="T4" s="22"/>
      <c r="U4" s="22">
        <v>3</v>
      </c>
      <c r="V4" s="23">
        <v>23</v>
      </c>
      <c r="W4" s="19" t="s">
        <v>52</v>
      </c>
      <c r="X4" s="19"/>
      <c r="Y4" s="22"/>
      <c r="Z4" s="22"/>
      <c r="AA4" s="19" t="s">
        <v>53</v>
      </c>
      <c r="AB4" s="19" t="s">
        <v>54</v>
      </c>
      <c r="AC4" s="22">
        <v>3406893094</v>
      </c>
      <c r="AD4" s="19" t="s">
        <v>55</v>
      </c>
      <c r="AE4" s="19" t="s">
        <v>56</v>
      </c>
      <c r="AF4" s="22" t="s">
        <v>57</v>
      </c>
      <c r="AG4" s="24"/>
      <c r="AH4" s="24"/>
      <c r="AI4" s="24"/>
      <c r="AJ4" s="24"/>
      <c r="AK4" s="24"/>
      <c r="AL4" s="24"/>
    </row>
    <row r="5" spans="1:38" ht="22.5" hidden="1" customHeight="1" x14ac:dyDescent="0.15">
      <c r="A5" s="25">
        <v>46104.664116979198</v>
      </c>
      <c r="B5" s="26" t="s">
        <v>58</v>
      </c>
      <c r="C5" s="26">
        <v>4</v>
      </c>
      <c r="D5" s="26" t="s">
        <v>59</v>
      </c>
      <c r="E5" s="27"/>
      <c r="F5" s="27" t="s">
        <v>60</v>
      </c>
      <c r="G5" s="28"/>
      <c r="H5" s="29">
        <v>4</v>
      </c>
      <c r="I5" s="29">
        <v>4</v>
      </c>
      <c r="J5" s="29"/>
      <c r="K5" s="29">
        <v>4</v>
      </c>
      <c r="L5" s="29">
        <v>4</v>
      </c>
      <c r="M5" s="29">
        <v>4</v>
      </c>
      <c r="N5" s="29"/>
      <c r="O5" s="29"/>
      <c r="P5" s="29"/>
      <c r="Q5" s="29"/>
      <c r="R5" s="29"/>
      <c r="S5" s="29"/>
      <c r="T5" s="29"/>
      <c r="U5" s="29">
        <v>2</v>
      </c>
      <c r="V5" s="30">
        <v>22</v>
      </c>
      <c r="W5" s="26"/>
      <c r="X5" s="26" t="s">
        <v>61</v>
      </c>
      <c r="Y5" s="29"/>
      <c r="Z5" s="29"/>
      <c r="AA5" s="26" t="s">
        <v>62</v>
      </c>
      <c r="AB5" s="26" t="s">
        <v>63</v>
      </c>
      <c r="AC5" s="29">
        <v>3470430253</v>
      </c>
      <c r="AD5" s="26" t="s">
        <v>58</v>
      </c>
      <c r="AE5" s="26" t="s">
        <v>64</v>
      </c>
      <c r="AF5" s="29" t="s">
        <v>65</v>
      </c>
      <c r="AG5" s="31"/>
      <c r="AH5" s="31"/>
      <c r="AI5" s="31"/>
      <c r="AJ5" s="31"/>
      <c r="AK5" s="31"/>
      <c r="AL5" s="31"/>
    </row>
    <row r="6" spans="1:38" ht="22.5" hidden="1" customHeight="1" x14ac:dyDescent="0.15">
      <c r="A6" s="32">
        <v>46101.459134189798</v>
      </c>
      <c r="B6" s="33" t="s">
        <v>66</v>
      </c>
      <c r="C6" s="33">
        <v>5</v>
      </c>
      <c r="D6" s="33" t="s">
        <v>67</v>
      </c>
      <c r="E6" s="34"/>
      <c r="F6" s="34" t="s">
        <v>68</v>
      </c>
      <c r="G6" s="35"/>
      <c r="H6" s="36">
        <v>4</v>
      </c>
      <c r="I6" s="36">
        <v>4</v>
      </c>
      <c r="J6" s="36">
        <v>4</v>
      </c>
      <c r="K6" s="36">
        <v>4</v>
      </c>
      <c r="L6" s="36">
        <v>4</v>
      </c>
      <c r="M6" s="36">
        <v>4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4</v>
      </c>
      <c r="U6" s="36">
        <v>2</v>
      </c>
      <c r="V6" s="37">
        <f>SUM(H6:U6)</f>
        <v>30</v>
      </c>
      <c r="W6" s="33"/>
      <c r="X6" s="33" t="s">
        <v>69</v>
      </c>
      <c r="Y6" s="36"/>
      <c r="Z6" s="36"/>
      <c r="AA6" s="33" t="s">
        <v>70</v>
      </c>
      <c r="AB6" s="33" t="s">
        <v>71</v>
      </c>
      <c r="AC6" s="36">
        <v>3468694583</v>
      </c>
      <c r="AD6" s="33" t="s">
        <v>72</v>
      </c>
      <c r="AE6" s="33" t="s">
        <v>66</v>
      </c>
      <c r="AF6" s="36" t="s">
        <v>73</v>
      </c>
      <c r="AG6" s="38"/>
      <c r="AH6" s="38"/>
      <c r="AI6" s="38"/>
      <c r="AJ6" s="38"/>
      <c r="AK6" s="38"/>
      <c r="AL6" s="38"/>
    </row>
    <row r="7" spans="1:38" ht="22.5" hidden="1" customHeight="1" x14ac:dyDescent="0.15">
      <c r="A7" s="39">
        <v>46100.442197592602</v>
      </c>
      <c r="B7" s="40" t="s">
        <v>74</v>
      </c>
      <c r="C7" s="40">
        <v>6</v>
      </c>
      <c r="D7" s="40" t="s">
        <v>75</v>
      </c>
      <c r="E7" s="41"/>
      <c r="F7" s="41" t="s">
        <v>76</v>
      </c>
      <c r="G7" s="42"/>
      <c r="H7" s="43">
        <v>4</v>
      </c>
      <c r="I7" s="43">
        <v>4</v>
      </c>
      <c r="J7" s="43">
        <v>4</v>
      </c>
      <c r="K7" s="43">
        <v>4</v>
      </c>
      <c r="L7" s="43"/>
      <c r="M7" s="43"/>
      <c r="N7" s="43"/>
      <c r="O7" s="43"/>
      <c r="P7" s="43"/>
      <c r="Q7" s="43"/>
      <c r="R7" s="43"/>
      <c r="S7" s="43"/>
      <c r="T7" s="43"/>
      <c r="U7" s="43">
        <v>2</v>
      </c>
      <c r="V7" s="44">
        <v>18</v>
      </c>
      <c r="W7" s="40"/>
      <c r="X7" s="40" t="s">
        <v>77</v>
      </c>
      <c r="Y7" s="43"/>
      <c r="Z7" s="43"/>
      <c r="AA7" s="40" t="s">
        <v>78</v>
      </c>
      <c r="AB7" s="40" t="s">
        <v>79</v>
      </c>
      <c r="AC7" s="43">
        <v>3408583057</v>
      </c>
      <c r="AD7" s="40" t="s">
        <v>80</v>
      </c>
      <c r="AE7" s="40" t="s">
        <v>74</v>
      </c>
      <c r="AF7" s="43" t="s">
        <v>81</v>
      </c>
      <c r="AG7" s="45"/>
      <c r="AH7" s="45"/>
      <c r="AI7" s="45"/>
      <c r="AJ7" s="45"/>
      <c r="AK7" s="45"/>
      <c r="AL7" s="45"/>
    </row>
    <row r="8" spans="1:38" ht="22.5" hidden="1" customHeight="1" x14ac:dyDescent="0.15">
      <c r="A8" s="8">
        <v>46098.446696203697</v>
      </c>
      <c r="B8" s="9" t="s">
        <v>82</v>
      </c>
      <c r="C8" s="9">
        <v>7</v>
      </c>
      <c r="D8" s="9" t="s">
        <v>83</v>
      </c>
      <c r="E8" s="10"/>
      <c r="F8" s="10" t="s">
        <v>84</v>
      </c>
      <c r="G8" s="11"/>
      <c r="H8" s="12"/>
      <c r="I8" s="12"/>
      <c r="J8" s="12">
        <v>4</v>
      </c>
      <c r="K8" s="12">
        <v>4</v>
      </c>
      <c r="L8" s="12"/>
      <c r="M8" s="12"/>
      <c r="N8" s="12"/>
      <c r="O8" s="12"/>
      <c r="P8" s="12"/>
      <c r="Q8" s="12"/>
      <c r="R8" s="12"/>
      <c r="S8" s="12"/>
      <c r="T8" s="12"/>
      <c r="U8" s="12">
        <v>1</v>
      </c>
      <c r="V8" s="13">
        <v>9</v>
      </c>
      <c r="W8" s="9"/>
      <c r="X8" s="9"/>
      <c r="Y8" s="12"/>
      <c r="Z8" s="12"/>
      <c r="AA8" s="9" t="s">
        <v>85</v>
      </c>
      <c r="AB8" s="9" t="s">
        <v>86</v>
      </c>
      <c r="AC8" s="12">
        <v>3408959144</v>
      </c>
      <c r="AD8" s="9" t="s">
        <v>87</v>
      </c>
      <c r="AE8" s="9" t="s">
        <v>88</v>
      </c>
      <c r="AF8" s="12" t="s">
        <v>89</v>
      </c>
      <c r="AG8" s="14"/>
      <c r="AH8" s="14"/>
      <c r="AI8" s="14"/>
      <c r="AJ8" s="14"/>
      <c r="AK8" s="14"/>
      <c r="AL8" s="14"/>
    </row>
    <row r="9" spans="1:38" ht="22.5" hidden="1" customHeight="1" x14ac:dyDescent="0.15">
      <c r="A9" s="46">
        <v>46105.364532118103</v>
      </c>
      <c r="B9" s="47" t="s">
        <v>90</v>
      </c>
      <c r="C9" s="47">
        <v>8</v>
      </c>
      <c r="D9" s="47" t="s">
        <v>91</v>
      </c>
      <c r="E9" s="48"/>
      <c r="F9" s="48" t="s">
        <v>92</v>
      </c>
      <c r="G9" s="49"/>
      <c r="H9" s="50">
        <v>4</v>
      </c>
      <c r="I9" s="50">
        <v>4</v>
      </c>
      <c r="J9" s="50">
        <v>4</v>
      </c>
      <c r="K9" s="50">
        <v>4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2</v>
      </c>
      <c r="V9" s="51">
        <v>18</v>
      </c>
      <c r="W9" s="47" t="s">
        <v>93</v>
      </c>
      <c r="X9" s="47" t="s">
        <v>93</v>
      </c>
      <c r="Y9" s="50"/>
      <c r="Z9" s="50"/>
      <c r="AA9" s="47" t="s">
        <v>94</v>
      </c>
      <c r="AB9" s="47" t="s">
        <v>95</v>
      </c>
      <c r="AC9" s="50">
        <v>3395616062</v>
      </c>
      <c r="AD9" s="47" t="s">
        <v>90</v>
      </c>
      <c r="AE9" s="47" t="s">
        <v>96</v>
      </c>
      <c r="AF9" s="50" t="s">
        <v>97</v>
      </c>
      <c r="AG9" s="52"/>
      <c r="AH9" s="52"/>
      <c r="AI9" s="52"/>
      <c r="AJ9" s="52"/>
      <c r="AK9" s="52"/>
      <c r="AL9" s="52"/>
    </row>
    <row r="10" spans="1:38" ht="22.5" hidden="1" customHeight="1" x14ac:dyDescent="0.15">
      <c r="A10" s="25">
        <v>46105.581487395801</v>
      </c>
      <c r="B10" s="26" t="s">
        <v>98</v>
      </c>
      <c r="C10" s="26">
        <v>9</v>
      </c>
      <c r="D10" s="26" t="s">
        <v>99</v>
      </c>
      <c r="E10" s="27"/>
      <c r="F10" s="27" t="s">
        <v>100</v>
      </c>
      <c r="G10" s="28"/>
      <c r="H10" s="29">
        <v>4</v>
      </c>
      <c r="I10" s="29">
        <v>4</v>
      </c>
      <c r="J10" s="29">
        <v>0</v>
      </c>
      <c r="K10" s="29">
        <v>0</v>
      </c>
      <c r="L10" s="29">
        <v>8</v>
      </c>
      <c r="M10" s="29">
        <v>8</v>
      </c>
      <c r="N10" s="29">
        <v>0</v>
      </c>
      <c r="O10" s="29">
        <v>0</v>
      </c>
      <c r="P10" s="29">
        <v>0</v>
      </c>
      <c r="Q10" s="29"/>
      <c r="R10" s="29">
        <v>0</v>
      </c>
      <c r="S10" s="29">
        <v>0</v>
      </c>
      <c r="T10" s="29">
        <v>0</v>
      </c>
      <c r="U10" s="29">
        <v>2</v>
      </c>
      <c r="V10" s="30">
        <v>26</v>
      </c>
      <c r="W10" s="26" t="s">
        <v>101</v>
      </c>
      <c r="X10" s="26" t="s">
        <v>102</v>
      </c>
      <c r="Y10" s="29"/>
      <c r="Z10" s="29"/>
      <c r="AA10" s="26" t="s">
        <v>103</v>
      </c>
      <c r="AB10" s="26" t="s">
        <v>104</v>
      </c>
      <c r="AC10" s="29" t="s">
        <v>105</v>
      </c>
      <c r="AD10" s="26" t="s">
        <v>106</v>
      </c>
      <c r="AE10" s="26" t="s">
        <v>98</v>
      </c>
      <c r="AF10" s="29" t="s">
        <v>107</v>
      </c>
      <c r="AG10" s="31"/>
      <c r="AH10" s="31"/>
      <c r="AI10" s="31"/>
      <c r="AJ10" s="31"/>
      <c r="AK10" s="31"/>
      <c r="AL10" s="31"/>
    </row>
    <row r="11" spans="1:38" ht="22.5" hidden="1" customHeight="1" x14ac:dyDescent="0.15">
      <c r="A11" s="32">
        <v>46105.795394918998</v>
      </c>
      <c r="B11" s="33" t="s">
        <v>108</v>
      </c>
      <c r="C11" s="33">
        <v>10</v>
      </c>
      <c r="D11" s="33" t="s">
        <v>109</v>
      </c>
      <c r="E11" s="34"/>
      <c r="F11" s="34" t="s">
        <v>110</v>
      </c>
      <c r="G11" s="35"/>
      <c r="H11" s="36">
        <v>4</v>
      </c>
      <c r="I11" s="36">
        <v>4</v>
      </c>
      <c r="J11" s="36">
        <v>4</v>
      </c>
      <c r="K11" s="36">
        <v>4</v>
      </c>
      <c r="L11" s="36"/>
      <c r="M11" s="36">
        <v>4</v>
      </c>
      <c r="N11" s="36"/>
      <c r="O11" s="36"/>
      <c r="P11" s="36"/>
      <c r="Q11" s="36"/>
      <c r="R11" s="36"/>
      <c r="S11" s="36"/>
      <c r="T11" s="36"/>
      <c r="U11" s="36">
        <v>2</v>
      </c>
      <c r="V11" s="37">
        <v>22</v>
      </c>
      <c r="W11" s="33"/>
      <c r="X11" s="33"/>
      <c r="Y11" s="36"/>
      <c r="Z11" s="36"/>
      <c r="AA11" s="33" t="s">
        <v>111</v>
      </c>
      <c r="AB11" s="33" t="s">
        <v>112</v>
      </c>
      <c r="AC11" s="36">
        <v>3463069444</v>
      </c>
      <c r="AD11" s="33" t="s">
        <v>108</v>
      </c>
      <c r="AE11" s="33" t="s">
        <v>113</v>
      </c>
      <c r="AF11" s="36" t="s">
        <v>114</v>
      </c>
      <c r="AG11" s="38"/>
      <c r="AH11" s="38"/>
      <c r="AI11" s="38"/>
      <c r="AJ11" s="38"/>
      <c r="AK11" s="38"/>
      <c r="AL11" s="38"/>
    </row>
    <row r="12" spans="1:38" ht="22.5" hidden="1" customHeight="1" x14ac:dyDescent="0.15">
      <c r="A12" s="32">
        <v>46105.423558240698</v>
      </c>
      <c r="B12" s="33" t="s">
        <v>115</v>
      </c>
      <c r="C12" s="33">
        <v>11</v>
      </c>
      <c r="D12" s="33" t="s">
        <v>116</v>
      </c>
      <c r="E12" s="34"/>
      <c r="F12" s="34" t="s">
        <v>117</v>
      </c>
      <c r="G12" s="35"/>
      <c r="H12" s="36">
        <v>4</v>
      </c>
      <c r="I12" s="36">
        <v>4</v>
      </c>
      <c r="J12" s="36">
        <v>8</v>
      </c>
      <c r="K12" s="36">
        <v>8</v>
      </c>
      <c r="L12" s="36">
        <v>8</v>
      </c>
      <c r="M12" s="36">
        <v>8</v>
      </c>
      <c r="N12" s="36"/>
      <c r="O12" s="36"/>
      <c r="P12" s="36"/>
      <c r="Q12" s="36"/>
      <c r="R12" s="36"/>
      <c r="S12" s="36"/>
      <c r="T12" s="36">
        <v>4</v>
      </c>
      <c r="U12" s="36">
        <v>4</v>
      </c>
      <c r="V12" s="37">
        <v>32</v>
      </c>
      <c r="W12" s="33"/>
      <c r="X12" s="33"/>
      <c r="Y12" s="36"/>
      <c r="Z12" s="36"/>
      <c r="AA12" s="33" t="s">
        <v>118</v>
      </c>
      <c r="AB12" s="33" t="s">
        <v>119</v>
      </c>
      <c r="AC12" s="36">
        <v>3497578597</v>
      </c>
      <c r="AD12" s="33" t="s">
        <v>120</v>
      </c>
      <c r="AE12" s="33" t="s">
        <v>115</v>
      </c>
      <c r="AF12" s="36" t="s">
        <v>121</v>
      </c>
      <c r="AG12" s="38"/>
      <c r="AH12" s="38"/>
      <c r="AI12" s="38"/>
      <c r="AJ12" s="38"/>
      <c r="AK12" s="38"/>
      <c r="AL12" s="38"/>
    </row>
    <row r="13" spans="1:38" ht="22.5" hidden="1" customHeight="1" x14ac:dyDescent="0.15">
      <c r="A13" s="32">
        <v>46105.922975428199</v>
      </c>
      <c r="B13" s="33" t="s">
        <v>122</v>
      </c>
      <c r="C13" s="33">
        <v>12</v>
      </c>
      <c r="D13" s="33" t="s">
        <v>123</v>
      </c>
      <c r="E13" s="34"/>
      <c r="F13" s="34" t="s">
        <v>124</v>
      </c>
      <c r="G13" s="35"/>
      <c r="H13" s="36">
        <v>4</v>
      </c>
      <c r="I13" s="36">
        <v>4</v>
      </c>
      <c r="J13" s="36">
        <v>4</v>
      </c>
      <c r="K13" s="36">
        <v>4</v>
      </c>
      <c r="L13" s="36"/>
      <c r="M13" s="36"/>
      <c r="N13" s="36"/>
      <c r="O13" s="36"/>
      <c r="P13" s="36"/>
      <c r="Q13" s="36"/>
      <c r="R13" s="36"/>
      <c r="S13" s="36"/>
      <c r="T13" s="36"/>
      <c r="U13" s="36">
        <v>2</v>
      </c>
      <c r="V13" s="37">
        <v>18</v>
      </c>
      <c r="W13" s="33"/>
      <c r="X13" s="33"/>
      <c r="Y13" s="36"/>
      <c r="Z13" s="36"/>
      <c r="AA13" s="33" t="s">
        <v>125</v>
      </c>
      <c r="AB13" s="33" t="s">
        <v>126</v>
      </c>
      <c r="AC13" s="36" t="s">
        <v>127</v>
      </c>
      <c r="AD13" s="33" t="s">
        <v>128</v>
      </c>
      <c r="AE13" s="33" t="s">
        <v>129</v>
      </c>
      <c r="AF13" s="36" t="s">
        <v>130</v>
      </c>
      <c r="AG13" s="38"/>
      <c r="AH13" s="38"/>
      <c r="AI13" s="38"/>
      <c r="AJ13" s="38"/>
      <c r="AK13" s="38"/>
      <c r="AL13" s="38"/>
    </row>
    <row r="14" spans="1:38" ht="22.5" hidden="1" customHeight="1" x14ac:dyDescent="0.15">
      <c r="A14" s="39">
        <v>46104.959452789401</v>
      </c>
      <c r="B14" s="40" t="s">
        <v>131</v>
      </c>
      <c r="C14" s="40">
        <v>13</v>
      </c>
      <c r="D14" s="40" t="s">
        <v>132</v>
      </c>
      <c r="E14" s="41"/>
      <c r="F14" s="41" t="s">
        <v>133</v>
      </c>
      <c r="G14" s="42"/>
      <c r="H14" s="43">
        <v>4</v>
      </c>
      <c r="I14" s="43">
        <v>4</v>
      </c>
      <c r="J14" s="43">
        <v>4</v>
      </c>
      <c r="K14" s="43">
        <v>4</v>
      </c>
      <c r="L14" s="43">
        <v>4</v>
      </c>
      <c r="M14" s="43">
        <v>4</v>
      </c>
      <c r="N14" s="43"/>
      <c r="O14" s="43"/>
      <c r="P14" s="43"/>
      <c r="Q14" s="43"/>
      <c r="R14" s="43"/>
      <c r="S14" s="43"/>
      <c r="T14" s="43"/>
      <c r="U14" s="43">
        <v>2</v>
      </c>
      <c r="V14" s="44">
        <v>26</v>
      </c>
      <c r="W14" s="40" t="s">
        <v>134</v>
      </c>
      <c r="X14" s="40" t="s">
        <v>135</v>
      </c>
      <c r="Y14" s="43"/>
      <c r="Z14" s="43"/>
      <c r="AA14" s="40" t="s">
        <v>136</v>
      </c>
      <c r="AB14" s="40" t="s">
        <v>137</v>
      </c>
      <c r="AC14" s="43">
        <v>3342488322</v>
      </c>
      <c r="AD14" s="40" t="s">
        <v>131</v>
      </c>
      <c r="AE14" s="40" t="s">
        <v>138</v>
      </c>
      <c r="AF14" s="43" t="s">
        <v>139</v>
      </c>
      <c r="AG14" s="45"/>
      <c r="AH14" s="45"/>
      <c r="AI14" s="45"/>
      <c r="AJ14" s="45"/>
      <c r="AK14" s="45"/>
      <c r="AL14" s="45"/>
    </row>
    <row r="15" spans="1:38" ht="22.5" hidden="1" customHeight="1" x14ac:dyDescent="0.15">
      <c r="A15" s="53">
        <v>46106.361074722197</v>
      </c>
      <c r="B15" s="54" t="s">
        <v>140</v>
      </c>
      <c r="C15" s="54">
        <v>14</v>
      </c>
      <c r="D15" s="54" t="s">
        <v>141</v>
      </c>
      <c r="E15" s="55"/>
      <c r="F15" s="55" t="s">
        <v>142</v>
      </c>
      <c r="G15" s="56"/>
      <c r="H15" s="57">
        <v>4</v>
      </c>
      <c r="I15" s="57">
        <v>4</v>
      </c>
      <c r="J15" s="57">
        <v>4</v>
      </c>
      <c r="K15" s="57">
        <v>4</v>
      </c>
      <c r="L15" s="57"/>
      <c r="M15" s="57"/>
      <c r="N15" s="57"/>
      <c r="O15" s="57"/>
      <c r="P15" s="57"/>
      <c r="Q15" s="57"/>
      <c r="R15" s="57"/>
      <c r="S15" s="57"/>
      <c r="T15" s="57"/>
      <c r="U15" s="57">
        <v>3</v>
      </c>
      <c r="V15" s="58">
        <v>23</v>
      </c>
      <c r="W15" s="54"/>
      <c r="X15" s="54"/>
      <c r="Y15" s="57"/>
      <c r="Z15" s="57"/>
      <c r="AA15" s="54" t="s">
        <v>143</v>
      </c>
      <c r="AB15" s="54" t="s">
        <v>144</v>
      </c>
      <c r="AC15" s="57">
        <v>3460299493</v>
      </c>
      <c r="AD15" s="54" t="s">
        <v>140</v>
      </c>
      <c r="AE15" s="54" t="s">
        <v>145</v>
      </c>
      <c r="AF15" s="57" t="s">
        <v>146</v>
      </c>
      <c r="AG15" s="59"/>
      <c r="AH15" s="59"/>
      <c r="AI15" s="59"/>
      <c r="AJ15" s="59"/>
      <c r="AK15" s="59"/>
      <c r="AL15" s="59"/>
    </row>
    <row r="16" spans="1:38" ht="22.5" hidden="1" customHeight="1" x14ac:dyDescent="0.15">
      <c r="A16" s="53">
        <v>46104.330537766204</v>
      </c>
      <c r="B16" s="54" t="s">
        <v>147</v>
      </c>
      <c r="C16" s="54">
        <v>15</v>
      </c>
      <c r="D16" s="54" t="s">
        <v>148</v>
      </c>
      <c r="E16" s="55"/>
      <c r="F16" s="55" t="s">
        <v>149</v>
      </c>
      <c r="G16" s="56"/>
      <c r="H16" s="57">
        <v>4</v>
      </c>
      <c r="I16" s="57">
        <v>4</v>
      </c>
      <c r="J16" s="57">
        <v>4</v>
      </c>
      <c r="K16" s="57">
        <v>4</v>
      </c>
      <c r="L16" s="57">
        <v>4</v>
      </c>
      <c r="M16" s="57">
        <v>4</v>
      </c>
      <c r="N16" s="57"/>
      <c r="O16" s="57"/>
      <c r="P16" s="57"/>
      <c r="Q16" s="57"/>
      <c r="R16" s="57"/>
      <c r="S16" s="57"/>
      <c r="T16" s="57"/>
      <c r="U16" s="57">
        <v>2</v>
      </c>
      <c r="V16" s="58">
        <v>26</v>
      </c>
      <c r="W16" s="54"/>
      <c r="X16" s="54"/>
      <c r="Y16" s="57"/>
      <c r="Z16" s="57"/>
      <c r="AA16" s="54" t="s">
        <v>150</v>
      </c>
      <c r="AB16" s="54" t="s">
        <v>151</v>
      </c>
      <c r="AC16" s="57">
        <v>3478192818</v>
      </c>
      <c r="AD16" s="54" t="s">
        <v>152</v>
      </c>
      <c r="AE16" s="54" t="s">
        <v>153</v>
      </c>
      <c r="AF16" s="57" t="s">
        <v>154</v>
      </c>
      <c r="AG16" s="59"/>
      <c r="AH16" s="59"/>
      <c r="AI16" s="59"/>
      <c r="AJ16" s="59"/>
      <c r="AK16" s="59"/>
      <c r="AL16" s="59"/>
    </row>
    <row r="17" spans="1:38" ht="22.5" hidden="1" customHeight="1" x14ac:dyDescent="0.15">
      <c r="A17" s="60">
        <v>46104.461654629602</v>
      </c>
      <c r="B17" s="61" t="s">
        <v>155</v>
      </c>
      <c r="C17" s="61">
        <v>16</v>
      </c>
      <c r="D17" s="61" t="s">
        <v>156</v>
      </c>
      <c r="E17" s="62"/>
      <c r="F17" s="62" t="s">
        <v>157</v>
      </c>
      <c r="G17" s="63"/>
      <c r="H17" s="64">
        <v>4</v>
      </c>
      <c r="I17" s="64">
        <v>4</v>
      </c>
      <c r="J17" s="64">
        <v>4</v>
      </c>
      <c r="K17" s="64">
        <v>4</v>
      </c>
      <c r="L17" s="64">
        <v>4</v>
      </c>
      <c r="M17" s="64">
        <v>4</v>
      </c>
      <c r="N17" s="64"/>
      <c r="O17" s="64"/>
      <c r="P17" s="64"/>
      <c r="Q17" s="64"/>
      <c r="R17" s="64"/>
      <c r="S17" s="64"/>
      <c r="T17" s="64">
        <v>4</v>
      </c>
      <c r="U17" s="64">
        <v>2</v>
      </c>
      <c r="V17" s="65">
        <v>30</v>
      </c>
      <c r="W17" s="61"/>
      <c r="X17" s="61" t="s">
        <v>158</v>
      </c>
      <c r="Y17" s="64"/>
      <c r="Z17" s="64"/>
      <c r="AA17" s="61" t="s">
        <v>159</v>
      </c>
      <c r="AB17" s="61" t="s">
        <v>160</v>
      </c>
      <c r="AC17" s="64" t="s">
        <v>161</v>
      </c>
      <c r="AD17" s="61" t="s">
        <v>155</v>
      </c>
      <c r="AE17" s="61" t="s">
        <v>162</v>
      </c>
      <c r="AF17" s="64" t="s">
        <v>163</v>
      </c>
      <c r="AG17" s="66"/>
      <c r="AH17" s="66"/>
      <c r="AI17" s="66"/>
      <c r="AJ17" s="66"/>
      <c r="AK17" s="66"/>
      <c r="AL17" s="66"/>
    </row>
    <row r="18" spans="1:38" ht="22.5" hidden="1" customHeight="1" x14ac:dyDescent="0.15">
      <c r="A18" s="32">
        <v>46092.736278969896</v>
      </c>
      <c r="B18" s="33" t="s">
        <v>164</v>
      </c>
      <c r="C18" s="33">
        <v>17</v>
      </c>
      <c r="D18" s="33"/>
      <c r="E18" s="34" t="s">
        <v>165</v>
      </c>
      <c r="F18" s="34"/>
      <c r="G18" s="35" t="s">
        <v>166</v>
      </c>
      <c r="H18" s="36"/>
      <c r="I18" s="36"/>
      <c r="J18" s="36"/>
      <c r="K18" s="36"/>
      <c r="L18" s="36"/>
      <c r="M18" s="36"/>
      <c r="N18" s="36"/>
      <c r="O18" s="36">
        <v>3</v>
      </c>
      <c r="P18" s="36"/>
      <c r="Q18" s="36"/>
      <c r="R18" s="36">
        <v>4</v>
      </c>
      <c r="S18" s="36">
        <v>4</v>
      </c>
      <c r="T18" s="36"/>
      <c r="U18" s="36">
        <v>1</v>
      </c>
      <c r="V18" s="37">
        <v>12</v>
      </c>
      <c r="W18" s="33"/>
      <c r="X18" s="33"/>
      <c r="Y18" s="36"/>
      <c r="Z18" s="36"/>
      <c r="AA18" s="33" t="s">
        <v>167</v>
      </c>
      <c r="AB18" s="33" t="s">
        <v>168</v>
      </c>
      <c r="AC18" s="36">
        <v>3483805619</v>
      </c>
      <c r="AD18" s="33" t="s">
        <v>164</v>
      </c>
      <c r="AE18" s="33" t="s">
        <v>169</v>
      </c>
      <c r="AF18" s="36" t="s">
        <v>170</v>
      </c>
      <c r="AG18" s="38"/>
      <c r="AH18" s="38"/>
      <c r="AI18" s="38"/>
      <c r="AJ18" s="38"/>
      <c r="AK18" s="38"/>
      <c r="AL18" s="38"/>
    </row>
    <row r="19" spans="1:38" ht="22.5" hidden="1" customHeight="1" x14ac:dyDescent="0.15">
      <c r="A19" s="25">
        <v>46094.426322662002</v>
      </c>
      <c r="B19" s="26" t="s">
        <v>171</v>
      </c>
      <c r="C19" s="26">
        <v>18</v>
      </c>
      <c r="D19" s="26"/>
      <c r="E19" s="27" t="s">
        <v>172</v>
      </c>
      <c r="F19" s="27"/>
      <c r="G19" s="28" t="s">
        <v>173</v>
      </c>
      <c r="H19" s="29"/>
      <c r="I19" s="29"/>
      <c r="J19" s="29"/>
      <c r="K19" s="29"/>
      <c r="L19" s="29"/>
      <c r="M19" s="29"/>
      <c r="N19" s="29">
        <v>4</v>
      </c>
      <c r="O19" s="29">
        <v>4</v>
      </c>
      <c r="P19" s="29"/>
      <c r="Q19" s="29"/>
      <c r="R19" s="29">
        <v>2</v>
      </c>
      <c r="S19" s="29">
        <v>2</v>
      </c>
      <c r="T19" s="29"/>
      <c r="U19" s="29">
        <v>2</v>
      </c>
      <c r="V19" s="30">
        <v>14</v>
      </c>
      <c r="W19" s="26"/>
      <c r="X19" s="26" t="s">
        <v>174</v>
      </c>
      <c r="Y19" s="29"/>
      <c r="Z19" s="29"/>
      <c r="AA19" s="26" t="s">
        <v>175</v>
      </c>
      <c r="AB19" s="26" t="s">
        <v>176</v>
      </c>
      <c r="AC19" s="29" t="s">
        <v>177</v>
      </c>
      <c r="AD19" s="26" t="s">
        <v>171</v>
      </c>
      <c r="AE19" s="26" t="s">
        <v>178</v>
      </c>
      <c r="AF19" s="29" t="s">
        <v>179</v>
      </c>
      <c r="AG19" s="31"/>
      <c r="AH19" s="31"/>
      <c r="AI19" s="31"/>
      <c r="AJ19" s="31"/>
      <c r="AK19" s="31"/>
      <c r="AL19" s="31"/>
    </row>
    <row r="20" spans="1:38" ht="22.5" hidden="1" customHeight="1" x14ac:dyDescent="0.15">
      <c r="A20" s="8">
        <v>46097.330513784698</v>
      </c>
      <c r="B20" s="9" t="s">
        <v>180</v>
      </c>
      <c r="C20" s="9">
        <v>19</v>
      </c>
      <c r="D20" s="9"/>
      <c r="E20" s="10" t="s">
        <v>181</v>
      </c>
      <c r="F20" s="10"/>
      <c r="G20" s="11" t="s">
        <v>182</v>
      </c>
      <c r="H20" s="12"/>
      <c r="I20" s="12"/>
      <c r="J20" s="12"/>
      <c r="K20" s="12"/>
      <c r="L20" s="12"/>
      <c r="M20" s="12"/>
      <c r="N20" s="12">
        <v>3</v>
      </c>
      <c r="O20" s="12">
        <v>4</v>
      </c>
      <c r="P20" s="12">
        <v>3</v>
      </c>
      <c r="Q20" s="12">
        <v>4</v>
      </c>
      <c r="R20" s="12">
        <v>2</v>
      </c>
      <c r="S20" s="12">
        <v>2</v>
      </c>
      <c r="T20" s="12"/>
      <c r="U20" s="12">
        <v>2</v>
      </c>
      <c r="V20" s="13">
        <v>20</v>
      </c>
      <c r="W20" s="9"/>
      <c r="X20" s="9" t="s">
        <v>183</v>
      </c>
      <c r="Y20" s="12"/>
      <c r="Z20" s="12"/>
      <c r="AA20" s="9" t="s">
        <v>184</v>
      </c>
      <c r="AB20" s="9" t="s">
        <v>126</v>
      </c>
      <c r="AC20" s="12">
        <v>3497825038</v>
      </c>
      <c r="AD20" s="9" t="s">
        <v>180</v>
      </c>
      <c r="AE20" s="9" t="s">
        <v>185</v>
      </c>
      <c r="AF20" s="12" t="s">
        <v>186</v>
      </c>
      <c r="AG20" s="14"/>
      <c r="AH20" s="14"/>
      <c r="AI20" s="14"/>
      <c r="AJ20" s="14"/>
      <c r="AK20" s="14"/>
      <c r="AL20" s="14"/>
    </row>
    <row r="21" spans="1:38" ht="22.5" hidden="1" customHeight="1" x14ac:dyDescent="0.15">
      <c r="A21" s="25">
        <v>46098.493821550903</v>
      </c>
      <c r="B21" s="26" t="s">
        <v>187</v>
      </c>
      <c r="C21" s="26">
        <v>20</v>
      </c>
      <c r="D21" s="26"/>
      <c r="E21" s="27" t="s">
        <v>188</v>
      </c>
      <c r="F21" s="27"/>
      <c r="G21" s="28" t="s">
        <v>189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4</v>
      </c>
      <c r="O21" s="29">
        <v>4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1</v>
      </c>
      <c r="V21" s="30">
        <v>9</v>
      </c>
      <c r="W21" s="26"/>
      <c r="X21" s="26" t="s">
        <v>190</v>
      </c>
      <c r="Y21" s="29"/>
      <c r="Z21" s="29"/>
      <c r="AA21" s="26" t="s">
        <v>191</v>
      </c>
      <c r="AB21" s="26" t="s">
        <v>192</v>
      </c>
      <c r="AC21" s="29" t="s">
        <v>193</v>
      </c>
      <c r="AD21" s="26" t="s">
        <v>187</v>
      </c>
      <c r="AE21" s="26" t="s">
        <v>194</v>
      </c>
      <c r="AF21" s="29" t="s">
        <v>195</v>
      </c>
      <c r="AG21" s="31"/>
      <c r="AH21" s="31"/>
      <c r="AI21" s="31"/>
      <c r="AJ21" s="31"/>
      <c r="AK21" s="31"/>
      <c r="AL21" s="31"/>
    </row>
    <row r="22" spans="1:38" ht="22.5" hidden="1" customHeight="1" x14ac:dyDescent="0.15">
      <c r="A22" s="8">
        <v>46099.457253993103</v>
      </c>
      <c r="B22" s="9" t="s">
        <v>196</v>
      </c>
      <c r="C22" s="9">
        <v>21</v>
      </c>
      <c r="D22" s="9"/>
      <c r="E22" s="10" t="s">
        <v>197</v>
      </c>
      <c r="F22" s="10"/>
      <c r="G22" s="11" t="s">
        <v>198</v>
      </c>
      <c r="H22" s="12"/>
      <c r="I22" s="12"/>
      <c r="J22" s="12"/>
      <c r="K22" s="12"/>
      <c r="L22" s="12"/>
      <c r="M22" s="12"/>
      <c r="N22" s="12"/>
      <c r="O22" s="12">
        <v>4</v>
      </c>
      <c r="P22" s="12">
        <v>4</v>
      </c>
      <c r="Q22" s="12">
        <v>4</v>
      </c>
      <c r="R22" s="12">
        <v>1</v>
      </c>
      <c r="S22" s="12"/>
      <c r="T22" s="12"/>
      <c r="U22" s="12">
        <v>1</v>
      </c>
      <c r="V22" s="13">
        <v>14</v>
      </c>
      <c r="W22" s="9"/>
      <c r="X22" s="9"/>
      <c r="Y22" s="12"/>
      <c r="Z22" s="12"/>
      <c r="AA22" s="9" t="s">
        <v>199</v>
      </c>
      <c r="AB22" s="9" t="s">
        <v>200</v>
      </c>
      <c r="AC22" s="12">
        <v>3408447302</v>
      </c>
      <c r="AD22" s="9" t="s">
        <v>201</v>
      </c>
      <c r="AE22" s="9" t="s">
        <v>196</v>
      </c>
      <c r="AF22" s="12" t="s">
        <v>202</v>
      </c>
      <c r="AG22" s="14"/>
      <c r="AH22" s="14"/>
      <c r="AI22" s="14"/>
      <c r="AJ22" s="14"/>
      <c r="AK22" s="14"/>
      <c r="AL22" s="14"/>
    </row>
    <row r="23" spans="1:38" ht="22.5" hidden="1" customHeight="1" x14ac:dyDescent="0.15">
      <c r="A23" s="46">
        <v>46101.649919213</v>
      </c>
      <c r="B23" s="47" t="s">
        <v>203</v>
      </c>
      <c r="C23" s="47">
        <v>22</v>
      </c>
      <c r="D23" s="47"/>
      <c r="E23" s="48" t="s">
        <v>204</v>
      </c>
      <c r="F23" s="48"/>
      <c r="G23" s="49" t="s">
        <v>205</v>
      </c>
      <c r="H23" s="50"/>
      <c r="I23" s="50">
        <v>0</v>
      </c>
      <c r="J23" s="50"/>
      <c r="K23" s="50"/>
      <c r="L23" s="50"/>
      <c r="M23" s="50"/>
      <c r="N23" s="50">
        <v>4</v>
      </c>
      <c r="O23" s="50">
        <v>4</v>
      </c>
      <c r="P23" s="50"/>
      <c r="Q23" s="50">
        <v>4</v>
      </c>
      <c r="R23" s="50">
        <v>3</v>
      </c>
      <c r="S23" s="50">
        <v>4</v>
      </c>
      <c r="T23" s="50"/>
      <c r="U23" s="50">
        <v>2</v>
      </c>
      <c r="V23" s="51">
        <v>21</v>
      </c>
      <c r="W23" s="47"/>
      <c r="X23" s="47"/>
      <c r="Y23" s="50"/>
      <c r="Z23" s="50"/>
      <c r="AA23" s="47" t="s">
        <v>206</v>
      </c>
      <c r="AB23" s="47" t="s">
        <v>207</v>
      </c>
      <c r="AC23" s="50">
        <v>3494760926</v>
      </c>
      <c r="AD23" s="47" t="s">
        <v>208</v>
      </c>
      <c r="AE23" s="47" t="s">
        <v>203</v>
      </c>
      <c r="AF23" s="50" t="s">
        <v>209</v>
      </c>
      <c r="AG23" s="52"/>
      <c r="AH23" s="52"/>
      <c r="AI23" s="52"/>
      <c r="AJ23" s="52"/>
      <c r="AK23" s="52"/>
      <c r="AL23" s="52"/>
    </row>
    <row r="24" spans="1:38" ht="22.5" hidden="1" customHeight="1" x14ac:dyDescent="0.15">
      <c r="A24" s="32">
        <v>46103.4801822917</v>
      </c>
      <c r="B24" s="33" t="s">
        <v>210</v>
      </c>
      <c r="C24" s="33">
        <v>23</v>
      </c>
      <c r="D24" s="33"/>
      <c r="E24" s="34" t="s">
        <v>211</v>
      </c>
      <c r="F24" s="34"/>
      <c r="G24" s="35" t="s">
        <v>212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4</v>
      </c>
      <c r="O24" s="36">
        <v>4</v>
      </c>
      <c r="P24" s="36">
        <v>4</v>
      </c>
      <c r="Q24" s="36">
        <v>4</v>
      </c>
      <c r="R24" s="36">
        <v>4</v>
      </c>
      <c r="S24" s="36">
        <v>4</v>
      </c>
      <c r="T24" s="36"/>
      <c r="U24" s="36">
        <v>2</v>
      </c>
      <c r="V24" s="37">
        <v>26</v>
      </c>
      <c r="W24" s="33"/>
      <c r="X24" s="33" t="s">
        <v>213</v>
      </c>
      <c r="Y24" s="36"/>
      <c r="Z24" s="36"/>
      <c r="AA24" s="33" t="s">
        <v>214</v>
      </c>
      <c r="AB24" s="33" t="s">
        <v>215</v>
      </c>
      <c r="AC24" s="36">
        <v>3400586007</v>
      </c>
      <c r="AD24" s="33" t="s">
        <v>210</v>
      </c>
      <c r="AE24" s="33" t="s">
        <v>216</v>
      </c>
      <c r="AF24" s="36" t="s">
        <v>217</v>
      </c>
      <c r="AG24" s="38"/>
      <c r="AH24" s="38"/>
      <c r="AI24" s="38"/>
      <c r="AJ24" s="38"/>
      <c r="AK24" s="38"/>
      <c r="AL24" s="38"/>
    </row>
    <row r="25" spans="1:38" ht="22.5" hidden="1" customHeight="1" x14ac:dyDescent="0.15">
      <c r="A25" s="39">
        <v>46104.498762546304</v>
      </c>
      <c r="B25" s="40" t="s">
        <v>218</v>
      </c>
      <c r="C25" s="40">
        <v>24</v>
      </c>
      <c r="D25" s="40"/>
      <c r="E25" s="41" t="s">
        <v>219</v>
      </c>
      <c r="F25" s="41"/>
      <c r="G25" s="42" t="s">
        <v>220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4</v>
      </c>
      <c r="O25" s="43">
        <v>4</v>
      </c>
      <c r="P25" s="43">
        <v>0</v>
      </c>
      <c r="Q25" s="43">
        <v>0</v>
      </c>
      <c r="R25" s="43">
        <v>0</v>
      </c>
      <c r="S25" s="43">
        <v>4</v>
      </c>
      <c r="T25" s="43">
        <v>0</v>
      </c>
      <c r="U25" s="43">
        <v>1</v>
      </c>
      <c r="V25" s="44">
        <v>13</v>
      </c>
      <c r="W25" s="40"/>
      <c r="X25" s="40"/>
      <c r="Y25" s="43"/>
      <c r="Z25" s="43"/>
      <c r="AA25" s="40" t="s">
        <v>221</v>
      </c>
      <c r="AB25" s="40" t="s">
        <v>222</v>
      </c>
      <c r="AC25" s="43">
        <v>3423162722</v>
      </c>
      <c r="AD25" s="40" t="s">
        <v>223</v>
      </c>
      <c r="AE25" s="40" t="s">
        <v>218</v>
      </c>
      <c r="AF25" s="43" t="s">
        <v>224</v>
      </c>
      <c r="AG25" s="45"/>
      <c r="AH25" s="45"/>
      <c r="AI25" s="45"/>
      <c r="AJ25" s="45"/>
      <c r="AK25" s="45"/>
      <c r="AL25" s="45"/>
    </row>
    <row r="26" spans="1:38" ht="22.5" hidden="1" customHeight="1" x14ac:dyDescent="0.15">
      <c r="A26" s="25">
        <v>46105.442347199103</v>
      </c>
      <c r="B26" s="26" t="s">
        <v>98</v>
      </c>
      <c r="C26" s="26">
        <v>25</v>
      </c>
      <c r="D26" s="26"/>
      <c r="E26" s="27" t="s">
        <v>225</v>
      </c>
      <c r="F26" s="27"/>
      <c r="G26" s="28" t="s">
        <v>226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4</v>
      </c>
      <c r="P26" s="29">
        <v>4</v>
      </c>
      <c r="Q26" s="29">
        <v>4</v>
      </c>
      <c r="R26" s="29">
        <v>3</v>
      </c>
      <c r="S26" s="29">
        <v>3</v>
      </c>
      <c r="T26" s="29">
        <v>0</v>
      </c>
      <c r="U26" s="29">
        <v>2</v>
      </c>
      <c r="V26" s="30">
        <v>20</v>
      </c>
      <c r="W26" s="26" t="s">
        <v>227</v>
      </c>
      <c r="X26" s="26" t="s">
        <v>228</v>
      </c>
      <c r="Y26" s="29"/>
      <c r="Z26" s="29"/>
      <c r="AA26" s="26" t="s">
        <v>229</v>
      </c>
      <c r="AB26" s="26" t="s">
        <v>230</v>
      </c>
      <c r="AC26" s="29" t="s">
        <v>231</v>
      </c>
      <c r="AD26" s="26" t="s">
        <v>232</v>
      </c>
      <c r="AE26" s="26" t="s">
        <v>98</v>
      </c>
      <c r="AF26" s="29" t="s">
        <v>107</v>
      </c>
      <c r="AG26" s="31"/>
      <c r="AH26" s="31"/>
      <c r="AI26" s="31"/>
      <c r="AJ26" s="31"/>
      <c r="AK26" s="31"/>
      <c r="AL26" s="31"/>
    </row>
    <row r="27" spans="1:38" ht="22.5" hidden="1" customHeight="1" x14ac:dyDescent="0.15">
      <c r="A27" s="8">
        <v>46105.488898263902</v>
      </c>
      <c r="B27" s="9" t="s">
        <v>233</v>
      </c>
      <c r="C27" s="9">
        <v>26</v>
      </c>
      <c r="D27" s="9"/>
      <c r="E27" s="10" t="s">
        <v>234</v>
      </c>
      <c r="F27" s="10"/>
      <c r="G27" s="11" t="s">
        <v>235</v>
      </c>
      <c r="H27" s="12"/>
      <c r="I27" s="12"/>
      <c r="J27" s="12"/>
      <c r="K27" s="12"/>
      <c r="L27" s="12"/>
      <c r="M27" s="12"/>
      <c r="N27" s="12">
        <v>4</v>
      </c>
      <c r="O27" s="12">
        <v>4</v>
      </c>
      <c r="P27" s="12"/>
      <c r="Q27" s="12"/>
      <c r="R27" s="12">
        <v>4</v>
      </c>
      <c r="S27" s="12">
        <v>4</v>
      </c>
      <c r="T27" s="12"/>
      <c r="U27" s="12">
        <v>2</v>
      </c>
      <c r="V27" s="13">
        <v>18</v>
      </c>
      <c r="W27" s="9"/>
      <c r="X27" s="9"/>
      <c r="Y27" s="12"/>
      <c r="Z27" s="12"/>
      <c r="AA27" s="9" t="s">
        <v>236</v>
      </c>
      <c r="AB27" s="9" t="s">
        <v>237</v>
      </c>
      <c r="AC27" s="12">
        <v>3389977818</v>
      </c>
      <c r="AD27" s="9" t="s">
        <v>238</v>
      </c>
      <c r="AE27" s="9" t="s">
        <v>239</v>
      </c>
      <c r="AF27" s="12" t="s">
        <v>240</v>
      </c>
      <c r="AG27" s="14"/>
      <c r="AH27" s="14"/>
      <c r="AI27" s="14"/>
      <c r="AJ27" s="14"/>
      <c r="AK27" s="14"/>
      <c r="AL27" s="14"/>
    </row>
    <row r="28" spans="1:38" ht="22.5" hidden="1" customHeight="1" x14ac:dyDescent="0.15">
      <c r="A28" s="32">
        <v>46105.549181539398</v>
      </c>
      <c r="B28" s="33" t="s">
        <v>241</v>
      </c>
      <c r="C28" s="33">
        <v>27</v>
      </c>
      <c r="D28" s="33"/>
      <c r="E28" s="34" t="s">
        <v>242</v>
      </c>
      <c r="F28" s="34"/>
      <c r="G28" s="35" t="s">
        <v>173</v>
      </c>
      <c r="H28" s="36"/>
      <c r="I28" s="36"/>
      <c r="J28" s="36"/>
      <c r="K28" s="36"/>
      <c r="L28" s="36"/>
      <c r="M28" s="36"/>
      <c r="N28" s="36">
        <v>4</v>
      </c>
      <c r="O28" s="36">
        <v>4</v>
      </c>
      <c r="P28" s="36">
        <v>4</v>
      </c>
      <c r="Q28" s="36">
        <v>4</v>
      </c>
      <c r="R28" s="36">
        <v>4</v>
      </c>
      <c r="S28" s="36">
        <v>4</v>
      </c>
      <c r="T28" s="36">
        <v>4</v>
      </c>
      <c r="U28" s="36">
        <v>3</v>
      </c>
      <c r="V28" s="37">
        <v>31</v>
      </c>
      <c r="W28" s="33"/>
      <c r="X28" s="33" t="s">
        <v>243</v>
      </c>
      <c r="Y28" s="36"/>
      <c r="Z28" s="36"/>
      <c r="AA28" s="33" t="s">
        <v>244</v>
      </c>
      <c r="AB28" s="33" t="s">
        <v>245</v>
      </c>
      <c r="AC28" s="36">
        <v>3483529898</v>
      </c>
      <c r="AD28" s="33" t="s">
        <v>241</v>
      </c>
      <c r="AE28" s="33" t="s">
        <v>246</v>
      </c>
      <c r="AF28" s="36" t="s">
        <v>247</v>
      </c>
      <c r="AG28" s="38"/>
      <c r="AH28" s="38"/>
      <c r="AI28" s="38"/>
      <c r="AJ28" s="38"/>
      <c r="AK28" s="38"/>
      <c r="AL28" s="38"/>
    </row>
    <row r="29" spans="1:38" ht="22.5" hidden="1" customHeight="1" x14ac:dyDescent="0.15">
      <c r="A29" s="67">
        <v>46105.549529861099</v>
      </c>
      <c r="B29" s="68" t="s">
        <v>248</v>
      </c>
      <c r="C29" s="33">
        <v>28</v>
      </c>
      <c r="D29" s="68"/>
      <c r="E29" s="69" t="s">
        <v>249</v>
      </c>
      <c r="F29" s="69"/>
      <c r="G29" s="70" t="s">
        <v>250</v>
      </c>
      <c r="H29" s="71"/>
      <c r="I29" s="71"/>
      <c r="J29" s="71"/>
      <c r="K29" s="71"/>
      <c r="L29" s="71"/>
      <c r="M29" s="71"/>
      <c r="N29" s="71">
        <v>4</v>
      </c>
      <c r="O29" s="71">
        <v>4</v>
      </c>
      <c r="P29" s="71"/>
      <c r="Q29" s="71"/>
      <c r="R29" s="71">
        <v>3</v>
      </c>
      <c r="S29" s="71">
        <v>4</v>
      </c>
      <c r="T29" s="71">
        <v>2</v>
      </c>
      <c r="U29" s="71">
        <v>3</v>
      </c>
      <c r="V29" s="72">
        <v>20</v>
      </c>
      <c r="W29" s="68" t="s">
        <v>251</v>
      </c>
      <c r="X29" s="68"/>
      <c r="Y29" s="71"/>
      <c r="Z29" s="71"/>
      <c r="AA29" s="68" t="s">
        <v>252</v>
      </c>
      <c r="AB29" s="68" t="s">
        <v>253</v>
      </c>
      <c r="AC29" s="71">
        <v>3496133937</v>
      </c>
      <c r="AD29" s="68" t="s">
        <v>248</v>
      </c>
      <c r="AE29" s="68" t="s">
        <v>254</v>
      </c>
      <c r="AF29" s="71" t="s">
        <v>255</v>
      </c>
      <c r="AG29" s="73"/>
      <c r="AH29" s="73"/>
      <c r="AI29" s="73"/>
      <c r="AJ29" s="73"/>
      <c r="AK29" s="73"/>
      <c r="AL29" s="73"/>
    </row>
    <row r="30" spans="1:38" ht="22.5" hidden="1" customHeight="1" x14ac:dyDescent="0.15">
      <c r="A30" s="25">
        <v>46105.5702922454</v>
      </c>
      <c r="B30" s="26" t="s">
        <v>256</v>
      </c>
      <c r="C30" s="26">
        <v>29</v>
      </c>
      <c r="D30" s="26"/>
      <c r="E30" s="27" t="s">
        <v>257</v>
      </c>
      <c r="F30" s="27"/>
      <c r="G30" s="28" t="s">
        <v>258</v>
      </c>
      <c r="H30" s="29"/>
      <c r="I30" s="29"/>
      <c r="J30" s="29"/>
      <c r="K30" s="29"/>
      <c r="L30" s="29"/>
      <c r="M30" s="29"/>
      <c r="N30" s="29">
        <v>4</v>
      </c>
      <c r="O30" s="29">
        <v>4</v>
      </c>
      <c r="P30" s="29">
        <v>4</v>
      </c>
      <c r="Q30" s="29">
        <v>4</v>
      </c>
      <c r="R30" s="29">
        <v>4</v>
      </c>
      <c r="S30" s="29">
        <v>4</v>
      </c>
      <c r="T30" s="29"/>
      <c r="U30" s="29">
        <v>2</v>
      </c>
      <c r="V30" s="30">
        <v>26</v>
      </c>
      <c r="W30" s="26"/>
      <c r="X30" s="26" t="s">
        <v>259</v>
      </c>
      <c r="Y30" s="29"/>
      <c r="Z30" s="29"/>
      <c r="AA30" s="26" t="s">
        <v>260</v>
      </c>
      <c r="AB30" s="26" t="s">
        <v>261</v>
      </c>
      <c r="AC30" s="29">
        <v>3333291696</v>
      </c>
      <c r="AD30" s="26" t="s">
        <v>256</v>
      </c>
      <c r="AE30" s="26" t="s">
        <v>262</v>
      </c>
      <c r="AF30" s="29" t="s">
        <v>263</v>
      </c>
      <c r="AG30" s="31"/>
      <c r="AH30" s="31"/>
      <c r="AI30" s="31"/>
      <c r="AJ30" s="31"/>
      <c r="AK30" s="31"/>
      <c r="AL30" s="31"/>
    </row>
    <row r="31" spans="1:38" ht="22.5" hidden="1" customHeight="1" x14ac:dyDescent="0.15">
      <c r="A31" s="32">
        <v>46105.973897893498</v>
      </c>
      <c r="B31" s="33" t="s">
        <v>264</v>
      </c>
      <c r="C31" s="33">
        <v>30</v>
      </c>
      <c r="D31" s="33"/>
      <c r="E31" s="34" t="s">
        <v>265</v>
      </c>
      <c r="F31" s="34"/>
      <c r="G31" s="35" t="s">
        <v>266</v>
      </c>
      <c r="H31" s="36"/>
      <c r="I31" s="36"/>
      <c r="J31" s="36"/>
      <c r="K31" s="36"/>
      <c r="L31" s="36"/>
      <c r="M31" s="36"/>
      <c r="N31" s="36">
        <v>4</v>
      </c>
      <c r="O31" s="36"/>
      <c r="P31" s="36">
        <v>3</v>
      </c>
      <c r="Q31" s="36">
        <v>3</v>
      </c>
      <c r="R31" s="36">
        <v>1</v>
      </c>
      <c r="S31" s="36">
        <v>2</v>
      </c>
      <c r="T31" s="36"/>
      <c r="U31" s="36">
        <v>1</v>
      </c>
      <c r="V31" s="37">
        <v>14</v>
      </c>
      <c r="W31" s="33"/>
      <c r="X31" s="33" t="s">
        <v>267</v>
      </c>
      <c r="Y31" s="36"/>
      <c r="Z31" s="36"/>
      <c r="AA31" s="33" t="s">
        <v>268</v>
      </c>
      <c r="AB31" s="33" t="s">
        <v>269</v>
      </c>
      <c r="AC31" s="36">
        <v>3488961215</v>
      </c>
      <c r="AD31" s="33" t="s">
        <v>264</v>
      </c>
      <c r="AE31" s="33" t="s">
        <v>270</v>
      </c>
      <c r="AF31" s="36" t="s">
        <v>271</v>
      </c>
      <c r="AG31" s="38"/>
      <c r="AH31" s="38"/>
      <c r="AI31" s="38"/>
      <c r="AJ31" s="38"/>
      <c r="AK31" s="38"/>
      <c r="AL31" s="38"/>
    </row>
    <row r="32" spans="1:38" ht="22.5" hidden="1" customHeight="1" x14ac:dyDescent="0.15">
      <c r="A32" s="60">
        <v>46107.444429317096</v>
      </c>
      <c r="B32" s="61" t="s">
        <v>272</v>
      </c>
      <c r="C32" s="61">
        <v>31</v>
      </c>
      <c r="D32" s="61" t="s">
        <v>273</v>
      </c>
      <c r="E32" s="62"/>
      <c r="F32" s="62" t="s">
        <v>274</v>
      </c>
      <c r="G32" s="63"/>
      <c r="H32" s="64">
        <v>4</v>
      </c>
      <c r="I32" s="64">
        <v>4</v>
      </c>
      <c r="J32" s="64">
        <v>4</v>
      </c>
      <c r="K32" s="64">
        <v>4</v>
      </c>
      <c r="L32" s="64"/>
      <c r="M32" s="64"/>
      <c r="N32" s="64"/>
      <c r="O32" s="64"/>
      <c r="P32" s="64"/>
      <c r="Q32" s="64"/>
      <c r="R32" s="64"/>
      <c r="S32" s="64"/>
      <c r="T32" s="64"/>
      <c r="U32" s="64">
        <v>2</v>
      </c>
      <c r="V32" s="65">
        <v>18</v>
      </c>
      <c r="W32" s="61"/>
      <c r="X32" s="61" t="s">
        <v>275</v>
      </c>
      <c r="Y32" s="64"/>
      <c r="Z32" s="64"/>
      <c r="AA32" s="61" t="s">
        <v>276</v>
      </c>
      <c r="AB32" s="61" t="s">
        <v>277</v>
      </c>
      <c r="AC32" s="64">
        <v>3470349911</v>
      </c>
      <c r="AD32" s="61" t="s">
        <v>272</v>
      </c>
      <c r="AE32" s="61" t="s">
        <v>278</v>
      </c>
      <c r="AF32" s="64" t="s">
        <v>279</v>
      </c>
      <c r="AG32" s="66"/>
      <c r="AH32" s="66"/>
      <c r="AI32" s="66"/>
      <c r="AJ32" s="66"/>
      <c r="AK32" s="66"/>
      <c r="AL32" s="66"/>
    </row>
    <row r="33" spans="1:38" ht="22.5" hidden="1" customHeight="1" x14ac:dyDescent="0.15">
      <c r="A33" s="25">
        <v>46107.461394710699</v>
      </c>
      <c r="B33" s="26" t="s">
        <v>280</v>
      </c>
      <c r="C33" s="26">
        <v>32</v>
      </c>
      <c r="D33" s="26" t="s">
        <v>281</v>
      </c>
      <c r="E33" s="27"/>
      <c r="F33" s="27" t="s">
        <v>282</v>
      </c>
      <c r="G33" s="28"/>
      <c r="H33" s="29">
        <v>4</v>
      </c>
      <c r="I33" s="29">
        <v>4</v>
      </c>
      <c r="J33" s="29">
        <v>4</v>
      </c>
      <c r="K33" s="29">
        <v>4</v>
      </c>
      <c r="L33" s="29"/>
      <c r="M33" s="29">
        <v>4</v>
      </c>
      <c r="N33" s="29"/>
      <c r="O33" s="29"/>
      <c r="P33" s="29"/>
      <c r="Q33" s="29"/>
      <c r="R33" s="29"/>
      <c r="S33" s="29"/>
      <c r="T33" s="29"/>
      <c r="U33" s="29">
        <v>3</v>
      </c>
      <c r="V33" s="30">
        <v>23</v>
      </c>
      <c r="W33" s="26"/>
      <c r="X33" s="26" t="s">
        <v>283</v>
      </c>
      <c r="Y33" s="29"/>
      <c r="Z33" s="29"/>
      <c r="AA33" s="26" t="s">
        <v>284</v>
      </c>
      <c r="AB33" s="26" t="s">
        <v>285</v>
      </c>
      <c r="AC33" s="29">
        <v>3489539966</v>
      </c>
      <c r="AD33" s="26" t="s">
        <v>286</v>
      </c>
      <c r="AE33" s="26" t="s">
        <v>280</v>
      </c>
      <c r="AF33" s="29" t="s">
        <v>287</v>
      </c>
      <c r="AG33" s="31"/>
      <c r="AH33" s="31"/>
      <c r="AI33" s="31"/>
      <c r="AJ33" s="31"/>
      <c r="AK33" s="31"/>
      <c r="AL33" s="31"/>
    </row>
    <row r="34" spans="1:38" ht="22.5" hidden="1" customHeight="1" x14ac:dyDescent="0.15">
      <c r="A34" s="25">
        <v>46107.481373101902</v>
      </c>
      <c r="B34" s="26" t="s">
        <v>288</v>
      </c>
      <c r="C34" s="26">
        <v>33</v>
      </c>
      <c r="D34" s="26"/>
      <c r="E34" s="27" t="s">
        <v>289</v>
      </c>
      <c r="F34" s="27"/>
      <c r="G34" s="28" t="s">
        <v>290</v>
      </c>
      <c r="H34" s="29">
        <v>4</v>
      </c>
      <c r="I34" s="29"/>
      <c r="J34" s="29"/>
      <c r="K34" s="29"/>
      <c r="L34" s="29"/>
      <c r="M34" s="29"/>
      <c r="N34" s="29">
        <v>4</v>
      </c>
      <c r="O34" s="29">
        <v>4</v>
      </c>
      <c r="P34" s="29"/>
      <c r="Q34" s="29"/>
      <c r="R34" s="29">
        <v>4</v>
      </c>
      <c r="S34" s="29"/>
      <c r="T34" s="29"/>
      <c r="U34" s="29">
        <v>2</v>
      </c>
      <c r="V34" s="30">
        <v>18</v>
      </c>
      <c r="W34" s="26"/>
      <c r="X34" s="26"/>
      <c r="Y34" s="29"/>
      <c r="Z34" s="29"/>
      <c r="AA34" s="26" t="s">
        <v>291</v>
      </c>
      <c r="AB34" s="26" t="s">
        <v>192</v>
      </c>
      <c r="AC34" s="29">
        <v>3403962375</v>
      </c>
      <c r="AD34" s="26" t="s">
        <v>288</v>
      </c>
      <c r="AE34" s="26" t="s">
        <v>292</v>
      </c>
      <c r="AF34" s="29" t="s">
        <v>293</v>
      </c>
      <c r="AG34" s="31"/>
      <c r="AH34" s="31"/>
      <c r="AI34" s="31"/>
      <c r="AJ34" s="31"/>
      <c r="AK34" s="31"/>
      <c r="AL34" s="31"/>
    </row>
    <row r="35" spans="1:38" ht="22.5" hidden="1" customHeight="1" x14ac:dyDescent="0.15">
      <c r="A35" s="74">
        <v>46107.488462534697</v>
      </c>
      <c r="B35" s="75" t="s">
        <v>294</v>
      </c>
      <c r="C35" s="26">
        <v>34</v>
      </c>
      <c r="D35" s="75" t="s">
        <v>295</v>
      </c>
      <c r="E35" s="76"/>
      <c r="F35" s="76" t="s">
        <v>296</v>
      </c>
      <c r="G35" s="77"/>
      <c r="H35" s="78">
        <v>4</v>
      </c>
      <c r="I35" s="78">
        <v>4</v>
      </c>
      <c r="J35" s="78"/>
      <c r="K35" s="78">
        <v>3</v>
      </c>
      <c r="L35" s="78">
        <v>3</v>
      </c>
      <c r="M35" s="78">
        <v>0</v>
      </c>
      <c r="N35" s="78"/>
      <c r="O35" s="78"/>
      <c r="P35" s="78"/>
      <c r="Q35" s="78"/>
      <c r="R35" s="78"/>
      <c r="S35" s="78"/>
      <c r="T35" s="78">
        <v>4</v>
      </c>
      <c r="U35" s="78">
        <v>3</v>
      </c>
      <c r="V35" s="79">
        <v>21</v>
      </c>
      <c r="W35" s="75" t="s">
        <v>297</v>
      </c>
      <c r="X35" s="75"/>
      <c r="Y35" s="78"/>
      <c r="Z35" s="78"/>
      <c r="AA35" s="75" t="s">
        <v>298</v>
      </c>
      <c r="AB35" s="75" t="s">
        <v>299</v>
      </c>
      <c r="AC35" s="78">
        <v>3381579269</v>
      </c>
      <c r="AD35" s="75" t="s">
        <v>294</v>
      </c>
      <c r="AE35" s="75" t="s">
        <v>300</v>
      </c>
      <c r="AF35" s="78" t="s">
        <v>301</v>
      </c>
      <c r="AG35" s="80"/>
      <c r="AH35" s="80"/>
      <c r="AI35" s="80"/>
      <c r="AJ35" s="80"/>
      <c r="AK35" s="80"/>
      <c r="AL35" s="80"/>
    </row>
    <row r="36" spans="1:38" ht="22.5" hidden="1" customHeight="1" x14ac:dyDescent="0.15">
      <c r="A36" s="18">
        <v>46107.820398726901</v>
      </c>
      <c r="B36" s="19" t="s">
        <v>302</v>
      </c>
      <c r="C36" s="19">
        <v>35</v>
      </c>
      <c r="D36" s="19"/>
      <c r="E36" s="20" t="s">
        <v>303</v>
      </c>
      <c r="F36" s="20"/>
      <c r="G36" s="21" t="s">
        <v>304</v>
      </c>
      <c r="H36" s="22"/>
      <c r="I36" s="22"/>
      <c r="J36" s="22"/>
      <c r="K36" s="22"/>
      <c r="L36" s="22"/>
      <c r="M36" s="22"/>
      <c r="N36" s="22">
        <v>4</v>
      </c>
      <c r="O36" s="22">
        <v>4</v>
      </c>
      <c r="P36" s="22"/>
      <c r="Q36" s="22">
        <v>4</v>
      </c>
      <c r="R36" s="22">
        <v>4</v>
      </c>
      <c r="S36" s="22">
        <v>4</v>
      </c>
      <c r="T36" s="22"/>
      <c r="U36" s="22">
        <v>2</v>
      </c>
      <c r="V36" s="23">
        <v>22</v>
      </c>
      <c r="W36" s="19"/>
      <c r="X36" s="19"/>
      <c r="Y36" s="22"/>
      <c r="Z36" s="22"/>
      <c r="AA36" s="19" t="s">
        <v>305</v>
      </c>
      <c r="AB36" s="19" t="s">
        <v>306</v>
      </c>
      <c r="AC36" s="22">
        <v>3356946071</v>
      </c>
      <c r="AD36" s="19" t="s">
        <v>307</v>
      </c>
      <c r="AE36" s="19" t="s">
        <v>308</v>
      </c>
      <c r="AF36" s="22" t="s">
        <v>309</v>
      </c>
      <c r="AG36" s="24"/>
      <c r="AH36" s="24"/>
      <c r="AI36" s="24"/>
      <c r="AJ36" s="24"/>
      <c r="AK36" s="24"/>
      <c r="AL36" s="24"/>
    </row>
    <row r="37" spans="1:38" ht="22.5" hidden="1" customHeight="1" x14ac:dyDescent="0.15">
      <c r="A37" s="18">
        <v>46108.454293194402</v>
      </c>
      <c r="B37" s="19" t="s">
        <v>310</v>
      </c>
      <c r="C37" s="19">
        <v>36</v>
      </c>
      <c r="D37" s="19"/>
      <c r="E37" s="20" t="s">
        <v>311</v>
      </c>
      <c r="F37" s="20"/>
      <c r="G37" s="21" t="s">
        <v>312</v>
      </c>
      <c r="H37" s="22"/>
      <c r="I37" s="22"/>
      <c r="J37" s="22"/>
      <c r="K37" s="22"/>
      <c r="L37" s="22"/>
      <c r="M37" s="22"/>
      <c r="N37" s="22">
        <v>4</v>
      </c>
      <c r="O37" s="22">
        <v>4</v>
      </c>
      <c r="P37" s="22"/>
      <c r="Q37" s="22"/>
      <c r="R37" s="22">
        <v>4</v>
      </c>
      <c r="S37" s="22">
        <v>4</v>
      </c>
      <c r="T37" s="22">
        <v>16</v>
      </c>
      <c r="U37" s="22">
        <v>2</v>
      </c>
      <c r="V37" s="81">
        <v>18</v>
      </c>
      <c r="W37" s="19"/>
      <c r="X37" s="19"/>
      <c r="Y37" s="22"/>
      <c r="Z37" s="22"/>
      <c r="AA37" s="19" t="s">
        <v>313</v>
      </c>
      <c r="AB37" s="19" t="s">
        <v>313</v>
      </c>
      <c r="AC37" s="19" t="s">
        <v>314</v>
      </c>
      <c r="AD37" s="19" t="s">
        <v>310</v>
      </c>
      <c r="AE37" s="19" t="s">
        <v>315</v>
      </c>
      <c r="AF37" s="19" t="s">
        <v>316</v>
      </c>
      <c r="AG37" s="24"/>
      <c r="AH37" s="24"/>
      <c r="AI37" s="24"/>
      <c r="AJ37" s="24"/>
      <c r="AK37" s="24"/>
      <c r="AL37" s="24"/>
    </row>
    <row r="38" spans="1:38" ht="22.5" hidden="1" customHeight="1" x14ac:dyDescent="0.15">
      <c r="A38" s="18">
        <v>46108.541275497701</v>
      </c>
      <c r="B38" s="19" t="s">
        <v>317</v>
      </c>
      <c r="C38" s="19">
        <v>37</v>
      </c>
      <c r="D38" s="19"/>
      <c r="E38" s="82" t="s">
        <v>318</v>
      </c>
      <c r="F38" s="82"/>
      <c r="G38" s="21" t="s">
        <v>319</v>
      </c>
      <c r="H38" s="22"/>
      <c r="I38" s="22"/>
      <c r="J38" s="22"/>
      <c r="K38" s="22"/>
      <c r="L38" s="22"/>
      <c r="M38" s="22"/>
      <c r="N38" s="22">
        <v>4</v>
      </c>
      <c r="O38" s="22">
        <v>4</v>
      </c>
      <c r="P38" s="22">
        <v>4</v>
      </c>
      <c r="Q38" s="22">
        <v>4</v>
      </c>
      <c r="R38" s="22"/>
      <c r="S38" s="22">
        <v>4</v>
      </c>
      <c r="T38" s="22">
        <v>4</v>
      </c>
      <c r="U38" s="22">
        <v>2</v>
      </c>
      <c r="V38" s="23">
        <v>26</v>
      </c>
      <c r="W38" s="19" t="s">
        <v>320</v>
      </c>
      <c r="X38" s="19" t="s">
        <v>321</v>
      </c>
      <c r="Y38" s="22"/>
      <c r="Z38" s="22"/>
      <c r="AA38" s="19" t="s">
        <v>322</v>
      </c>
      <c r="AB38" s="19" t="s">
        <v>104</v>
      </c>
      <c r="AC38" s="22" t="s">
        <v>323</v>
      </c>
      <c r="AD38" s="21" t="s">
        <v>317</v>
      </c>
      <c r="AE38" s="21" t="s">
        <v>324</v>
      </c>
      <c r="AF38" s="22" t="s">
        <v>325</v>
      </c>
      <c r="AG38" s="24"/>
      <c r="AH38" s="24"/>
      <c r="AI38" s="24"/>
      <c r="AJ38" s="24"/>
      <c r="AK38" s="24"/>
      <c r="AL38" s="24"/>
    </row>
    <row r="39" spans="1:38" ht="35" customHeight="1" x14ac:dyDescent="0.15">
      <c r="A39" s="15"/>
      <c r="B39" s="16"/>
      <c r="C39" s="16"/>
      <c r="E39" s="17"/>
      <c r="F39" s="17"/>
      <c r="G39" s="1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4"/>
      <c r="W39" s="16"/>
      <c r="X39" s="16"/>
      <c r="Y39" s="7"/>
      <c r="Z39" s="7"/>
      <c r="AA39" s="16"/>
      <c r="AB39" s="16"/>
      <c r="AC39" s="7"/>
      <c r="AD39" s="16"/>
      <c r="AE39" s="16"/>
      <c r="AF39" s="7"/>
    </row>
    <row r="40" spans="1:38" ht="14" x14ac:dyDescent="0.15">
      <c r="A40" s="83"/>
      <c r="B40" s="84"/>
      <c r="C40" s="84"/>
      <c r="D40" s="84" t="s">
        <v>326</v>
      </c>
      <c r="E40" s="84" t="s">
        <v>327</v>
      </c>
      <c r="F40" s="84" t="s">
        <v>328</v>
      </c>
      <c r="G40" s="85" t="s">
        <v>329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 t="s">
        <v>330</v>
      </c>
      <c r="W40" s="84"/>
      <c r="X40" s="84" t="s">
        <v>331</v>
      </c>
      <c r="Y40" s="86"/>
      <c r="Z40" s="86"/>
      <c r="AA40" s="84"/>
      <c r="AB40" s="84"/>
      <c r="AC40" s="86"/>
      <c r="AD40" s="84"/>
      <c r="AE40" s="84"/>
      <c r="AF40" s="86"/>
      <c r="AG40" s="84"/>
      <c r="AH40" s="84"/>
      <c r="AI40" s="84"/>
      <c r="AJ40" s="84"/>
      <c r="AK40" s="84"/>
      <c r="AL40" s="84"/>
    </row>
    <row r="41" spans="1:38" ht="22.5" customHeight="1" x14ac:dyDescent="0.25">
      <c r="A41" s="31"/>
      <c r="B41" s="31"/>
      <c r="C41" s="31"/>
      <c r="D41" s="87" t="s">
        <v>332</v>
      </c>
      <c r="E41" s="88"/>
      <c r="F41" s="88"/>
      <c r="G41" s="89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1"/>
      <c r="W41" s="31"/>
      <c r="X41" s="31"/>
      <c r="Y41" s="6" t="s">
        <v>24</v>
      </c>
      <c r="Z41" s="6" t="s">
        <v>25</v>
      </c>
      <c r="AA41" s="31"/>
      <c r="AB41" s="31"/>
      <c r="AC41" s="90"/>
      <c r="AD41" s="31"/>
      <c r="AE41" s="31"/>
      <c r="AF41" s="90"/>
      <c r="AG41" s="31"/>
      <c r="AH41" s="31"/>
      <c r="AI41" s="31"/>
      <c r="AJ41" s="31"/>
      <c r="AK41" s="31"/>
      <c r="AL41" s="31"/>
    </row>
    <row r="42" spans="1:38" ht="22.25" customHeight="1" x14ac:dyDescent="0.2">
      <c r="A42" s="92">
        <v>46103.512856157402</v>
      </c>
      <c r="B42" s="93" t="s">
        <v>39</v>
      </c>
      <c r="C42" s="93">
        <v>2</v>
      </c>
      <c r="D42" s="94" t="s">
        <v>40</v>
      </c>
      <c r="E42" s="95"/>
      <c r="F42" s="95" t="s">
        <v>41</v>
      </c>
      <c r="G42" s="96"/>
      <c r="H42" s="97">
        <v>4</v>
      </c>
      <c r="I42" s="97">
        <v>4</v>
      </c>
      <c r="J42" s="97">
        <v>4</v>
      </c>
      <c r="K42" s="97">
        <v>4</v>
      </c>
      <c r="L42" s="97">
        <v>4</v>
      </c>
      <c r="M42" s="97">
        <v>4</v>
      </c>
      <c r="N42" s="97"/>
      <c r="O42" s="97"/>
      <c r="P42" s="97"/>
      <c r="Q42" s="97"/>
      <c r="R42" s="97"/>
      <c r="S42" s="97"/>
      <c r="T42" s="97">
        <v>5</v>
      </c>
      <c r="U42" s="97">
        <v>3</v>
      </c>
      <c r="V42" s="98">
        <v>32</v>
      </c>
      <c r="W42" s="93" t="s">
        <v>333</v>
      </c>
      <c r="X42" s="93" t="s">
        <v>43</v>
      </c>
      <c r="Y42" s="97"/>
      <c r="Z42" s="97"/>
      <c r="AA42" s="93" t="s">
        <v>44</v>
      </c>
      <c r="AB42" s="93" t="s">
        <v>45</v>
      </c>
      <c r="AC42" s="97" t="s">
        <v>46</v>
      </c>
      <c r="AD42" s="93" t="s">
        <v>39</v>
      </c>
      <c r="AE42" s="93" t="s">
        <v>47</v>
      </c>
      <c r="AF42" s="97" t="s">
        <v>48</v>
      </c>
    </row>
    <row r="43" spans="1:38" ht="19.25" customHeight="1" x14ac:dyDescent="0.2">
      <c r="A43" s="99">
        <v>46101.459134189798</v>
      </c>
      <c r="B43" s="100" t="s">
        <v>66</v>
      </c>
      <c r="C43" s="100">
        <v>3</v>
      </c>
      <c r="D43" s="94" t="s">
        <v>67</v>
      </c>
      <c r="E43" s="101"/>
      <c r="F43" s="101" t="s">
        <v>68</v>
      </c>
      <c r="G43" s="102"/>
      <c r="H43" s="103">
        <v>4</v>
      </c>
      <c r="I43" s="103">
        <v>4</v>
      </c>
      <c r="J43" s="103">
        <v>4</v>
      </c>
      <c r="K43" s="103">
        <v>4</v>
      </c>
      <c r="L43" s="103">
        <v>4</v>
      </c>
      <c r="M43" s="103">
        <v>4</v>
      </c>
      <c r="N43" s="103">
        <v>0</v>
      </c>
      <c r="O43" s="103">
        <v>0</v>
      </c>
      <c r="P43" s="103">
        <v>0</v>
      </c>
      <c r="Q43" s="103">
        <v>0</v>
      </c>
      <c r="R43" s="103">
        <v>0</v>
      </c>
      <c r="S43" s="103">
        <v>0</v>
      </c>
      <c r="T43" s="103">
        <v>4</v>
      </c>
      <c r="U43" s="103">
        <v>2</v>
      </c>
      <c r="V43" s="104">
        <f>SUM(H43:U43)</f>
        <v>30</v>
      </c>
      <c r="W43" s="93" t="s">
        <v>333</v>
      </c>
      <c r="X43" s="100" t="s">
        <v>69</v>
      </c>
      <c r="Y43" s="103"/>
      <c r="Z43" s="103"/>
      <c r="AA43" s="100" t="s">
        <v>70</v>
      </c>
      <c r="AB43" s="100" t="s">
        <v>71</v>
      </c>
      <c r="AC43" s="103">
        <v>3468694583</v>
      </c>
      <c r="AD43" s="100" t="s">
        <v>72</v>
      </c>
      <c r="AE43" s="100" t="s">
        <v>66</v>
      </c>
      <c r="AF43" s="103" t="s">
        <v>73</v>
      </c>
      <c r="AG43" s="100"/>
      <c r="AH43" s="100"/>
      <c r="AI43" s="100"/>
      <c r="AJ43" s="100"/>
      <c r="AK43" s="100"/>
      <c r="AL43" s="100"/>
    </row>
    <row r="44" spans="1:38" ht="22.5" customHeight="1" x14ac:dyDescent="0.25">
      <c r="A44" s="31"/>
      <c r="B44" s="31"/>
      <c r="C44" s="31"/>
      <c r="D44" s="87" t="s">
        <v>334</v>
      </c>
      <c r="E44" s="88"/>
      <c r="F44" s="88"/>
      <c r="G44" s="89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1"/>
      <c r="W44" s="31"/>
      <c r="X44" s="31"/>
      <c r="Y44" s="6" t="s">
        <v>24</v>
      </c>
      <c r="Z44" s="6" t="s">
        <v>25</v>
      </c>
      <c r="AA44" s="31"/>
      <c r="AB44" s="31"/>
      <c r="AC44" s="90"/>
      <c r="AD44" s="31"/>
      <c r="AE44" s="31"/>
      <c r="AF44" s="90"/>
      <c r="AG44" s="31"/>
      <c r="AH44" s="31"/>
      <c r="AI44" s="31"/>
      <c r="AJ44" s="31"/>
      <c r="AK44" s="31"/>
      <c r="AL44" s="31"/>
    </row>
    <row r="45" spans="1:38" ht="16" x14ac:dyDescent="0.2">
      <c r="A45" s="105">
        <v>46105.795394918998</v>
      </c>
      <c r="B45" s="106" t="s">
        <v>108</v>
      </c>
      <c r="C45" s="106">
        <v>1</v>
      </c>
      <c r="D45" s="107" t="s">
        <v>109</v>
      </c>
      <c r="E45" s="108"/>
      <c r="F45" s="108" t="s">
        <v>110</v>
      </c>
      <c r="G45" s="109"/>
      <c r="H45" s="110">
        <v>4</v>
      </c>
      <c r="I45" s="110">
        <v>4</v>
      </c>
      <c r="J45" s="110">
        <v>4</v>
      </c>
      <c r="K45" s="110">
        <v>4</v>
      </c>
      <c r="L45" s="110"/>
      <c r="M45" s="110">
        <v>4</v>
      </c>
      <c r="N45" s="110"/>
      <c r="O45" s="110"/>
      <c r="P45" s="110"/>
      <c r="Q45" s="110"/>
      <c r="R45" s="110"/>
      <c r="S45" s="110"/>
      <c r="T45" s="110"/>
      <c r="U45" s="110">
        <v>2</v>
      </c>
      <c r="V45" s="111">
        <v>22</v>
      </c>
      <c r="W45" s="106"/>
      <c r="X45" s="106" t="s">
        <v>335</v>
      </c>
      <c r="Y45" s="110">
        <v>37</v>
      </c>
      <c r="Z45" s="110">
        <v>30</v>
      </c>
      <c r="AA45" s="106" t="s">
        <v>111</v>
      </c>
      <c r="AB45" s="106" t="s">
        <v>112</v>
      </c>
      <c r="AC45" s="110">
        <v>3463069444</v>
      </c>
      <c r="AD45" s="106" t="s">
        <v>108</v>
      </c>
      <c r="AE45" s="106" t="s">
        <v>113</v>
      </c>
      <c r="AF45" s="110" t="s">
        <v>114</v>
      </c>
      <c r="AG45" s="106"/>
      <c r="AH45" s="106"/>
      <c r="AI45" s="106"/>
      <c r="AJ45" s="106"/>
      <c r="AK45" s="106"/>
      <c r="AL45" s="106"/>
    </row>
    <row r="46" spans="1:38" ht="31.25" customHeight="1" x14ac:dyDescent="0.2">
      <c r="A46" s="105">
        <v>46105.549181539398</v>
      </c>
      <c r="B46" s="106" t="s">
        <v>241</v>
      </c>
      <c r="C46" s="106">
        <v>2</v>
      </c>
      <c r="D46" s="106"/>
      <c r="E46" s="112" t="s">
        <v>242</v>
      </c>
      <c r="F46" s="108"/>
      <c r="G46" s="109" t="s">
        <v>173</v>
      </c>
      <c r="H46" s="110"/>
      <c r="I46" s="110"/>
      <c r="J46" s="110"/>
      <c r="K46" s="110"/>
      <c r="L46" s="110"/>
      <c r="M46" s="110"/>
      <c r="N46" s="110">
        <v>4</v>
      </c>
      <c r="O46" s="110">
        <v>4</v>
      </c>
      <c r="P46" s="110">
        <v>4</v>
      </c>
      <c r="Q46" s="110">
        <v>4</v>
      </c>
      <c r="R46" s="110">
        <v>4</v>
      </c>
      <c r="S46" s="110">
        <v>4</v>
      </c>
      <c r="T46" s="110">
        <v>4</v>
      </c>
      <c r="U46" s="110">
        <v>3</v>
      </c>
      <c r="V46" s="111">
        <v>31</v>
      </c>
      <c r="W46" s="106"/>
      <c r="X46" s="113" t="s">
        <v>336</v>
      </c>
      <c r="Y46" s="110"/>
      <c r="Z46" s="110"/>
      <c r="AA46" s="106" t="s">
        <v>244</v>
      </c>
      <c r="AB46" s="106" t="s">
        <v>245</v>
      </c>
      <c r="AC46" s="110">
        <v>3483529898</v>
      </c>
      <c r="AD46" s="106" t="s">
        <v>241</v>
      </c>
      <c r="AE46" s="106" t="s">
        <v>246</v>
      </c>
      <c r="AF46" s="110" t="s">
        <v>247</v>
      </c>
      <c r="AG46" s="106"/>
      <c r="AH46" s="106"/>
      <c r="AI46" s="106"/>
      <c r="AJ46" s="106"/>
      <c r="AK46" s="106"/>
      <c r="AL46" s="106"/>
    </row>
    <row r="47" spans="1:38" ht="16" x14ac:dyDescent="0.2">
      <c r="A47" s="114"/>
      <c r="B47" s="66"/>
      <c r="C47" s="66"/>
      <c r="D47" s="66"/>
      <c r="E47" s="115"/>
      <c r="F47" s="115"/>
      <c r="G47" s="116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8"/>
      <c r="W47" s="66"/>
      <c r="X47" s="66"/>
      <c r="Y47" s="117"/>
      <c r="Z47" s="117"/>
      <c r="AA47" s="66"/>
      <c r="AB47" s="66"/>
      <c r="AC47" s="117"/>
      <c r="AD47" s="66"/>
      <c r="AE47" s="66"/>
      <c r="AF47" s="117"/>
      <c r="AG47" s="66"/>
      <c r="AH47" s="66"/>
      <c r="AI47" s="66"/>
      <c r="AJ47" s="66"/>
      <c r="AK47" s="66"/>
      <c r="AL47" s="66"/>
    </row>
    <row r="48" spans="1:38" ht="42.75" customHeight="1" x14ac:dyDescent="0.2">
      <c r="A48" s="119">
        <v>46105.549529861099</v>
      </c>
      <c r="B48" s="120" t="s">
        <v>248</v>
      </c>
      <c r="C48" s="93">
        <v>4</v>
      </c>
      <c r="D48" s="120"/>
      <c r="E48" s="121" t="s">
        <v>249</v>
      </c>
      <c r="F48" s="121"/>
      <c r="G48" s="122" t="s">
        <v>250</v>
      </c>
      <c r="H48" s="123"/>
      <c r="I48" s="123"/>
      <c r="J48" s="123"/>
      <c r="K48" s="123"/>
      <c r="L48" s="123"/>
      <c r="M48" s="123"/>
      <c r="N48" s="123">
        <v>4</v>
      </c>
      <c r="O48" s="123">
        <v>4</v>
      </c>
      <c r="P48" s="123"/>
      <c r="Q48" s="123"/>
      <c r="R48" s="123">
        <v>3</v>
      </c>
      <c r="S48" s="123">
        <v>4</v>
      </c>
      <c r="T48" s="123">
        <v>2</v>
      </c>
      <c r="U48" s="123">
        <v>3</v>
      </c>
      <c r="V48" s="124">
        <v>20</v>
      </c>
      <c r="W48" s="125" t="s">
        <v>337</v>
      </c>
      <c r="X48" s="122" t="s">
        <v>250</v>
      </c>
      <c r="Y48" s="123">
        <v>40</v>
      </c>
      <c r="Z48" s="123">
        <v>30</v>
      </c>
      <c r="AA48" s="120" t="s">
        <v>252</v>
      </c>
      <c r="AB48" s="120" t="s">
        <v>253</v>
      </c>
      <c r="AC48" s="123">
        <v>3496133937</v>
      </c>
      <c r="AD48" s="120" t="s">
        <v>248</v>
      </c>
      <c r="AE48" s="120" t="s">
        <v>254</v>
      </c>
      <c r="AF48" s="123" t="s">
        <v>255</v>
      </c>
      <c r="AG48" s="120"/>
      <c r="AH48" s="120"/>
      <c r="AI48" s="120"/>
      <c r="AJ48" s="120"/>
      <c r="AK48" s="120"/>
      <c r="AL48" s="120"/>
    </row>
    <row r="49" spans="1:38" ht="16" x14ac:dyDescent="0.2">
      <c r="A49" s="66"/>
      <c r="B49" s="66"/>
      <c r="C49" s="66"/>
      <c r="D49" s="66"/>
      <c r="E49" s="115"/>
      <c r="F49" s="115"/>
      <c r="G49" s="116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26"/>
      <c r="W49" s="66"/>
      <c r="X49" s="66"/>
      <c r="Y49" s="117"/>
      <c r="Z49" s="117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</row>
    <row r="50" spans="1:38" ht="16" x14ac:dyDescent="0.2">
      <c r="A50" s="92">
        <v>46105.423558240698</v>
      </c>
      <c r="B50" s="93" t="s">
        <v>115</v>
      </c>
      <c r="C50" s="93">
        <v>5</v>
      </c>
      <c r="D50" s="94" t="s">
        <v>116</v>
      </c>
      <c r="E50" s="95"/>
      <c r="F50" s="95" t="s">
        <v>117</v>
      </c>
      <c r="G50" s="96"/>
      <c r="H50" s="97">
        <v>4</v>
      </c>
      <c r="I50" s="97">
        <v>4</v>
      </c>
      <c r="J50" s="97">
        <v>8</v>
      </c>
      <c r="K50" s="97">
        <v>8</v>
      </c>
      <c r="L50" s="97">
        <v>8</v>
      </c>
      <c r="M50" s="97">
        <v>8</v>
      </c>
      <c r="N50" s="97"/>
      <c r="O50" s="97"/>
      <c r="P50" s="97"/>
      <c r="Q50" s="97"/>
      <c r="R50" s="97"/>
      <c r="S50" s="97"/>
      <c r="T50" s="97">
        <v>4</v>
      </c>
      <c r="U50" s="97">
        <v>4</v>
      </c>
      <c r="V50" s="98">
        <v>32</v>
      </c>
      <c r="X50" s="93" t="s">
        <v>338</v>
      </c>
      <c r="Y50" s="97">
        <v>52</v>
      </c>
      <c r="Z50" s="97">
        <v>30</v>
      </c>
      <c r="AA50" s="93" t="s">
        <v>118</v>
      </c>
      <c r="AB50" s="93" t="s">
        <v>119</v>
      </c>
      <c r="AC50" s="97">
        <v>3497578597</v>
      </c>
      <c r="AD50" s="93" t="s">
        <v>120</v>
      </c>
      <c r="AE50" s="93" t="s">
        <v>115</v>
      </c>
      <c r="AF50" s="97" t="s">
        <v>121</v>
      </c>
    </row>
    <row r="51" spans="1:38" ht="16" x14ac:dyDescent="0.2">
      <c r="A51" s="66"/>
      <c r="B51" s="66"/>
      <c r="C51" s="66"/>
      <c r="D51" s="66"/>
      <c r="E51" s="115"/>
      <c r="F51" s="115"/>
      <c r="G51" s="116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26"/>
      <c r="W51" s="66"/>
      <c r="X51" s="66"/>
      <c r="Y51" s="117"/>
      <c r="Z51" s="117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</row>
    <row r="52" spans="1:38" ht="16" x14ac:dyDescent="0.2">
      <c r="A52" s="127">
        <v>46103.4801822917</v>
      </c>
      <c r="B52" s="128" t="s">
        <v>210</v>
      </c>
      <c r="C52" s="129">
        <v>6</v>
      </c>
      <c r="D52" s="130"/>
      <c r="E52" s="131" t="s">
        <v>211</v>
      </c>
      <c r="F52" s="132"/>
      <c r="G52" s="133" t="s">
        <v>212</v>
      </c>
      <c r="H52" s="134">
        <v>0</v>
      </c>
      <c r="I52" s="134">
        <v>0</v>
      </c>
      <c r="J52" s="134">
        <v>0</v>
      </c>
      <c r="K52" s="134">
        <v>0</v>
      </c>
      <c r="L52" s="134">
        <v>0</v>
      </c>
      <c r="M52" s="134">
        <v>0</v>
      </c>
      <c r="N52" s="134">
        <v>4</v>
      </c>
      <c r="O52" s="134">
        <v>4</v>
      </c>
      <c r="P52" s="134">
        <v>4</v>
      </c>
      <c r="Q52" s="134">
        <v>4</v>
      </c>
      <c r="R52" s="134">
        <v>4</v>
      </c>
      <c r="S52" s="134">
        <v>4</v>
      </c>
      <c r="T52" s="135"/>
      <c r="U52" s="134">
        <v>2</v>
      </c>
      <c r="V52" s="136">
        <v>26</v>
      </c>
      <c r="W52" s="130"/>
      <c r="X52" s="128" t="s">
        <v>339</v>
      </c>
      <c r="Y52" s="134">
        <v>54</v>
      </c>
      <c r="Z52" s="134">
        <v>30</v>
      </c>
      <c r="AA52" s="128" t="s">
        <v>214</v>
      </c>
      <c r="AB52" s="128" t="s">
        <v>215</v>
      </c>
      <c r="AC52" s="134">
        <v>3400586007</v>
      </c>
      <c r="AD52" s="128" t="s">
        <v>210</v>
      </c>
      <c r="AE52" s="128" t="s">
        <v>216</v>
      </c>
      <c r="AF52" s="137" t="s">
        <v>217</v>
      </c>
      <c r="AG52" s="93"/>
      <c r="AH52" s="93"/>
      <c r="AI52" s="93"/>
      <c r="AJ52" s="93"/>
      <c r="AK52" s="93"/>
      <c r="AL52" s="93"/>
    </row>
    <row r="53" spans="1:38" ht="16" x14ac:dyDescent="0.2">
      <c r="A53" s="66"/>
      <c r="B53" s="66"/>
      <c r="C53" s="66"/>
      <c r="D53" s="66"/>
      <c r="E53" s="115"/>
      <c r="F53" s="115"/>
      <c r="G53" s="116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26"/>
      <c r="W53" s="66"/>
      <c r="X53" s="66"/>
      <c r="Y53" s="117"/>
      <c r="Z53" s="117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</row>
    <row r="54" spans="1:38" ht="16" x14ac:dyDescent="0.2">
      <c r="A54" s="105">
        <v>46100.442197592602</v>
      </c>
      <c r="B54" s="106" t="s">
        <v>74</v>
      </c>
      <c r="C54" s="106">
        <v>7</v>
      </c>
      <c r="D54" s="107" t="s">
        <v>75</v>
      </c>
      <c r="E54" s="108"/>
      <c r="F54" s="108" t="s">
        <v>76</v>
      </c>
      <c r="G54" s="109"/>
      <c r="H54" s="110">
        <v>4</v>
      </c>
      <c r="I54" s="110">
        <v>4</v>
      </c>
      <c r="J54" s="110">
        <v>4</v>
      </c>
      <c r="K54" s="110">
        <v>4</v>
      </c>
      <c r="L54" s="110"/>
      <c r="M54" s="110"/>
      <c r="N54" s="110"/>
      <c r="O54" s="110"/>
      <c r="P54" s="110"/>
      <c r="Q54" s="110"/>
      <c r="R54" s="110"/>
      <c r="S54" s="110"/>
      <c r="T54" s="110"/>
      <c r="U54" s="110">
        <v>2</v>
      </c>
      <c r="V54" s="111">
        <v>18</v>
      </c>
      <c r="W54" s="106"/>
      <c r="X54" s="106" t="s">
        <v>77</v>
      </c>
      <c r="Y54" s="110">
        <v>109</v>
      </c>
      <c r="Z54" s="110" t="s">
        <v>340</v>
      </c>
      <c r="AA54" s="106" t="s">
        <v>78</v>
      </c>
      <c r="AB54" s="106" t="s">
        <v>79</v>
      </c>
      <c r="AC54" s="110">
        <v>3408583057</v>
      </c>
      <c r="AD54" s="106" t="s">
        <v>80</v>
      </c>
      <c r="AE54" s="106" t="s">
        <v>74</v>
      </c>
      <c r="AF54" s="110" t="s">
        <v>81</v>
      </c>
      <c r="AG54" s="106"/>
      <c r="AH54" s="106"/>
      <c r="AI54" s="106"/>
      <c r="AJ54" s="106"/>
      <c r="AK54" s="106"/>
      <c r="AL54" s="106"/>
    </row>
    <row r="55" spans="1:38" ht="16" x14ac:dyDescent="0.2">
      <c r="A55" s="105">
        <v>46105.973897893498</v>
      </c>
      <c r="B55" s="106" t="s">
        <v>264</v>
      </c>
      <c r="C55" s="106">
        <v>8</v>
      </c>
      <c r="D55" s="106"/>
      <c r="E55" s="112" t="s">
        <v>265</v>
      </c>
      <c r="F55" s="108"/>
      <c r="G55" s="109" t="s">
        <v>266</v>
      </c>
      <c r="H55" s="110"/>
      <c r="I55" s="110"/>
      <c r="J55" s="110"/>
      <c r="K55" s="110"/>
      <c r="L55" s="110"/>
      <c r="M55" s="110"/>
      <c r="N55" s="110">
        <v>4</v>
      </c>
      <c r="O55" s="110"/>
      <c r="P55" s="110">
        <v>3</v>
      </c>
      <c r="Q55" s="110">
        <v>3</v>
      </c>
      <c r="R55" s="110">
        <v>1</v>
      </c>
      <c r="S55" s="110">
        <v>2</v>
      </c>
      <c r="T55" s="110"/>
      <c r="U55" s="110">
        <v>1</v>
      </c>
      <c r="V55" s="111">
        <v>14</v>
      </c>
      <c r="W55" s="106"/>
      <c r="X55" s="106" t="s">
        <v>267</v>
      </c>
      <c r="Y55" s="110"/>
      <c r="Z55" s="110"/>
      <c r="AA55" s="106" t="s">
        <v>268</v>
      </c>
      <c r="AB55" s="106" t="s">
        <v>269</v>
      </c>
      <c r="AC55" s="110">
        <v>3488961215</v>
      </c>
      <c r="AD55" s="106" t="s">
        <v>264</v>
      </c>
      <c r="AE55" s="106" t="s">
        <v>270</v>
      </c>
      <c r="AF55" s="110" t="s">
        <v>271</v>
      </c>
      <c r="AG55" s="106"/>
      <c r="AH55" s="106"/>
      <c r="AI55" s="106"/>
      <c r="AJ55" s="106"/>
      <c r="AK55" s="106"/>
      <c r="AL55" s="106"/>
    </row>
    <row r="56" spans="1:38" ht="61" x14ac:dyDescent="0.2">
      <c r="A56" s="105">
        <v>46092.736278969896</v>
      </c>
      <c r="B56" s="106" t="s">
        <v>164</v>
      </c>
      <c r="C56" s="106">
        <v>9</v>
      </c>
      <c r="D56" s="106"/>
      <c r="E56" s="112" t="s">
        <v>165</v>
      </c>
      <c r="F56" s="108"/>
      <c r="G56" s="138" t="s">
        <v>341</v>
      </c>
      <c r="H56" s="110"/>
      <c r="I56" s="110"/>
      <c r="J56" s="110"/>
      <c r="K56" s="110"/>
      <c r="L56" s="110"/>
      <c r="M56" s="110"/>
      <c r="N56" s="110"/>
      <c r="O56" s="110">
        <v>3</v>
      </c>
      <c r="P56" s="110"/>
      <c r="Q56" s="110"/>
      <c r="R56" s="110">
        <v>4</v>
      </c>
      <c r="S56" s="110">
        <v>4</v>
      </c>
      <c r="T56" s="110"/>
      <c r="U56" s="110">
        <v>1</v>
      </c>
      <c r="V56" s="111">
        <v>12</v>
      </c>
      <c r="W56" s="106"/>
      <c r="X56" s="106"/>
      <c r="Y56" s="110"/>
      <c r="Z56" s="110"/>
      <c r="AA56" s="106" t="s">
        <v>167</v>
      </c>
      <c r="AB56" s="106" t="s">
        <v>168</v>
      </c>
      <c r="AC56" s="110">
        <v>3483805619</v>
      </c>
      <c r="AD56" s="106" t="s">
        <v>164</v>
      </c>
      <c r="AE56" s="106" t="s">
        <v>169</v>
      </c>
      <c r="AF56" s="110" t="s">
        <v>170</v>
      </c>
      <c r="AG56" s="106"/>
      <c r="AH56" s="106"/>
      <c r="AI56" s="106"/>
      <c r="AJ56" s="106"/>
      <c r="AK56" s="106"/>
      <c r="AL56" s="106"/>
    </row>
    <row r="57" spans="1:38" ht="16" x14ac:dyDescent="0.2">
      <c r="A57" s="66"/>
      <c r="B57" s="66"/>
      <c r="C57" s="66"/>
      <c r="D57" s="66"/>
      <c r="E57" s="115"/>
      <c r="F57" s="115"/>
      <c r="G57" s="116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8"/>
      <c r="W57" s="66"/>
      <c r="X57" s="66"/>
      <c r="Y57" s="117"/>
      <c r="Z57" s="117"/>
      <c r="AA57" s="66"/>
      <c r="AB57" s="66"/>
      <c r="AC57" s="117"/>
      <c r="AD57" s="66"/>
      <c r="AE57" s="66"/>
      <c r="AF57" s="117"/>
      <c r="AG57" s="66"/>
      <c r="AH57" s="66"/>
      <c r="AI57" s="66"/>
      <c r="AJ57" s="66"/>
      <c r="AK57" s="66"/>
      <c r="AL57" s="66"/>
    </row>
    <row r="58" spans="1:38" ht="16" x14ac:dyDescent="0.2">
      <c r="A58" s="105">
        <v>46105.581487395801</v>
      </c>
      <c r="B58" s="106" t="s">
        <v>98</v>
      </c>
      <c r="C58" s="106">
        <v>11</v>
      </c>
      <c r="D58" s="107" t="s">
        <v>99</v>
      </c>
      <c r="E58" s="108"/>
      <c r="F58" s="108" t="s">
        <v>100</v>
      </c>
      <c r="G58" s="109"/>
      <c r="H58" s="110">
        <v>4</v>
      </c>
      <c r="I58" s="110">
        <v>4</v>
      </c>
      <c r="J58" s="110">
        <v>0</v>
      </c>
      <c r="K58" s="110">
        <v>0</v>
      </c>
      <c r="L58" s="110">
        <v>8</v>
      </c>
      <c r="M58" s="110">
        <v>8</v>
      </c>
      <c r="N58" s="110">
        <v>0</v>
      </c>
      <c r="O58" s="110">
        <v>0</v>
      </c>
      <c r="P58" s="110">
        <v>0</v>
      </c>
      <c r="Q58" s="110"/>
      <c r="R58" s="110">
        <v>0</v>
      </c>
      <c r="S58" s="110">
        <v>0</v>
      </c>
      <c r="T58" s="110">
        <v>0</v>
      </c>
      <c r="U58" s="110">
        <v>2</v>
      </c>
      <c r="V58" s="111">
        <v>26</v>
      </c>
      <c r="W58" s="106"/>
      <c r="X58" s="106" t="s">
        <v>342</v>
      </c>
      <c r="Y58" s="110">
        <v>193</v>
      </c>
      <c r="Z58" s="110" t="s">
        <v>343</v>
      </c>
      <c r="AA58" s="106" t="s">
        <v>103</v>
      </c>
      <c r="AB58" s="106" t="s">
        <v>104</v>
      </c>
      <c r="AC58" s="110" t="s">
        <v>105</v>
      </c>
      <c r="AD58" s="106" t="s">
        <v>106</v>
      </c>
      <c r="AE58" s="106" t="s">
        <v>98</v>
      </c>
      <c r="AF58" s="110" t="s">
        <v>107</v>
      </c>
      <c r="AG58" s="106"/>
      <c r="AH58" s="106"/>
      <c r="AI58" s="106"/>
      <c r="AJ58" s="106"/>
      <c r="AK58" s="106"/>
      <c r="AL58" s="106"/>
    </row>
    <row r="59" spans="1:38" ht="16" x14ac:dyDescent="0.2">
      <c r="A59" s="105">
        <v>46107.461394710699</v>
      </c>
      <c r="B59" s="106" t="s">
        <v>280</v>
      </c>
      <c r="C59" s="106">
        <v>10</v>
      </c>
      <c r="D59" s="107" t="s">
        <v>281</v>
      </c>
      <c r="E59" s="108"/>
      <c r="F59" s="108" t="s">
        <v>282</v>
      </c>
      <c r="G59" s="109"/>
      <c r="H59" s="110">
        <v>4</v>
      </c>
      <c r="I59" s="110">
        <v>4</v>
      </c>
      <c r="J59" s="110">
        <v>4</v>
      </c>
      <c r="K59" s="110">
        <v>4</v>
      </c>
      <c r="L59" s="110"/>
      <c r="M59" s="110">
        <v>4</v>
      </c>
      <c r="N59" s="110"/>
      <c r="O59" s="110"/>
      <c r="P59" s="110"/>
      <c r="Q59" s="110"/>
      <c r="R59" s="110"/>
      <c r="S59" s="110"/>
      <c r="T59" s="110"/>
      <c r="U59" s="110">
        <v>3</v>
      </c>
      <c r="V59" s="111">
        <v>23</v>
      </c>
      <c r="W59" s="106"/>
      <c r="X59" s="108" t="s">
        <v>282</v>
      </c>
      <c r="Y59" s="110"/>
      <c r="Z59" s="110"/>
      <c r="AA59" s="106" t="s">
        <v>284</v>
      </c>
      <c r="AB59" s="106" t="s">
        <v>285</v>
      </c>
      <c r="AC59" s="110">
        <v>3489539966</v>
      </c>
      <c r="AD59" s="106" t="s">
        <v>286</v>
      </c>
      <c r="AE59" s="106" t="s">
        <v>280</v>
      </c>
      <c r="AF59" s="110" t="s">
        <v>287</v>
      </c>
      <c r="AG59" s="106"/>
      <c r="AH59" s="106"/>
      <c r="AI59" s="106"/>
      <c r="AJ59" s="106"/>
      <c r="AK59" s="106"/>
      <c r="AL59" s="106"/>
    </row>
    <row r="60" spans="1:38" ht="16" x14ac:dyDescent="0.2">
      <c r="A60" s="114"/>
      <c r="B60" s="66"/>
      <c r="C60" s="66"/>
      <c r="D60" s="66"/>
      <c r="E60" s="115"/>
      <c r="F60" s="115"/>
      <c r="G60" s="116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8"/>
      <c r="W60" s="66"/>
      <c r="X60" s="66"/>
      <c r="Y60" s="117"/>
      <c r="Z60" s="117"/>
      <c r="AA60" s="66"/>
      <c r="AB60" s="66"/>
      <c r="AC60" s="117"/>
      <c r="AD60" s="66"/>
      <c r="AE60" s="66"/>
      <c r="AF60" s="117"/>
      <c r="AG60" s="66"/>
      <c r="AH60" s="66"/>
      <c r="AI60" s="66"/>
      <c r="AJ60" s="66"/>
      <c r="AK60" s="66"/>
      <c r="AL60" s="66"/>
    </row>
    <row r="61" spans="1:38" ht="30" customHeight="1" x14ac:dyDescent="0.2">
      <c r="A61" s="105">
        <v>46098.493821550903</v>
      </c>
      <c r="B61" s="106" t="s">
        <v>187</v>
      </c>
      <c r="C61" s="106">
        <v>12</v>
      </c>
      <c r="D61" s="106"/>
      <c r="E61" s="112" t="s">
        <v>188</v>
      </c>
      <c r="F61" s="108"/>
      <c r="G61" s="109" t="s">
        <v>344</v>
      </c>
      <c r="H61" s="110">
        <v>0</v>
      </c>
      <c r="I61" s="110">
        <v>0</v>
      </c>
      <c r="J61" s="110">
        <v>0</v>
      </c>
      <c r="K61" s="110">
        <v>0</v>
      </c>
      <c r="L61" s="110">
        <v>0</v>
      </c>
      <c r="M61" s="110">
        <v>0</v>
      </c>
      <c r="N61" s="110">
        <v>4</v>
      </c>
      <c r="O61" s="110">
        <v>4</v>
      </c>
      <c r="P61" s="110">
        <v>0</v>
      </c>
      <c r="Q61" s="110">
        <v>0</v>
      </c>
      <c r="R61" s="110">
        <v>0</v>
      </c>
      <c r="S61" s="110">
        <v>0</v>
      </c>
      <c r="T61" s="110">
        <v>0</v>
      </c>
      <c r="U61" s="110">
        <v>1</v>
      </c>
      <c r="V61" s="111">
        <v>9</v>
      </c>
      <c r="W61" s="106"/>
      <c r="X61" s="106" t="s">
        <v>190</v>
      </c>
      <c r="Y61" s="110">
        <v>197</v>
      </c>
      <c r="Z61" s="110" t="s">
        <v>345</v>
      </c>
      <c r="AA61" s="106" t="s">
        <v>191</v>
      </c>
      <c r="AB61" s="106" t="s">
        <v>192</v>
      </c>
      <c r="AC61" s="110" t="s">
        <v>193</v>
      </c>
      <c r="AD61" s="106" t="s">
        <v>187</v>
      </c>
      <c r="AE61" s="106" t="s">
        <v>194</v>
      </c>
      <c r="AF61" s="110" t="s">
        <v>195</v>
      </c>
      <c r="AG61" s="106"/>
      <c r="AH61" s="106"/>
      <c r="AI61" s="106"/>
      <c r="AJ61" s="106"/>
      <c r="AK61" s="106"/>
      <c r="AL61" s="106"/>
    </row>
    <row r="62" spans="1:38" ht="44" customHeight="1" x14ac:dyDescent="0.2">
      <c r="A62" s="105">
        <v>46105.442347199103</v>
      </c>
      <c r="B62" s="106" t="s">
        <v>98</v>
      </c>
      <c r="C62" s="106">
        <v>13</v>
      </c>
      <c r="D62" s="106"/>
      <c r="E62" s="112" t="s">
        <v>225</v>
      </c>
      <c r="F62" s="108"/>
      <c r="G62" s="138" t="s">
        <v>346</v>
      </c>
      <c r="H62" s="110">
        <v>0</v>
      </c>
      <c r="I62" s="110">
        <v>0</v>
      </c>
      <c r="J62" s="110">
        <v>0</v>
      </c>
      <c r="K62" s="110">
        <v>0</v>
      </c>
      <c r="L62" s="110">
        <v>0</v>
      </c>
      <c r="M62" s="110">
        <v>0</v>
      </c>
      <c r="N62" s="110">
        <v>0</v>
      </c>
      <c r="O62" s="110">
        <v>4</v>
      </c>
      <c r="P62" s="110">
        <v>4</v>
      </c>
      <c r="Q62" s="110">
        <v>4</v>
      </c>
      <c r="R62" s="110">
        <v>3</v>
      </c>
      <c r="S62" s="110">
        <v>3</v>
      </c>
      <c r="T62" s="110">
        <v>0</v>
      </c>
      <c r="U62" s="110">
        <v>2</v>
      </c>
      <c r="V62" s="111">
        <v>20</v>
      </c>
      <c r="W62" s="139" t="s">
        <v>347</v>
      </c>
      <c r="X62" s="138" t="s">
        <v>346</v>
      </c>
      <c r="Y62" s="110"/>
      <c r="Z62" s="110"/>
      <c r="AA62" s="106" t="s">
        <v>229</v>
      </c>
      <c r="AB62" s="106" t="s">
        <v>230</v>
      </c>
      <c r="AC62" s="110" t="s">
        <v>231</v>
      </c>
      <c r="AD62" s="106" t="s">
        <v>232</v>
      </c>
      <c r="AE62" s="106" t="s">
        <v>98</v>
      </c>
      <c r="AF62" s="110" t="s">
        <v>107</v>
      </c>
      <c r="AG62" s="106"/>
      <c r="AH62" s="106"/>
      <c r="AI62" s="106"/>
      <c r="AJ62" s="106"/>
      <c r="AK62" s="106"/>
      <c r="AL62" s="106"/>
    </row>
    <row r="63" spans="1:38" ht="16" x14ac:dyDescent="0.2">
      <c r="A63" s="105">
        <v>46107.481373101902</v>
      </c>
      <c r="B63" s="106" t="s">
        <v>288</v>
      </c>
      <c r="C63" s="106">
        <v>14</v>
      </c>
      <c r="D63" s="106"/>
      <c r="E63" s="112" t="s">
        <v>289</v>
      </c>
      <c r="F63" s="108"/>
      <c r="G63" s="109" t="s">
        <v>290</v>
      </c>
      <c r="H63" s="110">
        <v>4</v>
      </c>
      <c r="I63" s="110"/>
      <c r="J63" s="110"/>
      <c r="K63" s="110"/>
      <c r="L63" s="110"/>
      <c r="M63" s="110"/>
      <c r="N63" s="110">
        <v>4</v>
      </c>
      <c r="O63" s="110">
        <v>4</v>
      </c>
      <c r="P63" s="110"/>
      <c r="Q63" s="110"/>
      <c r="R63" s="110">
        <v>4</v>
      </c>
      <c r="S63" s="110"/>
      <c r="T63" s="110"/>
      <c r="U63" s="110">
        <v>2</v>
      </c>
      <c r="V63" s="111">
        <v>18</v>
      </c>
      <c r="W63" s="106"/>
      <c r="X63" s="109" t="s">
        <v>290</v>
      </c>
      <c r="Y63" s="110"/>
      <c r="Z63" s="110"/>
      <c r="AA63" s="106" t="s">
        <v>291</v>
      </c>
      <c r="AB63" s="106" t="s">
        <v>192</v>
      </c>
      <c r="AC63" s="110">
        <v>3403962375</v>
      </c>
      <c r="AD63" s="106" t="s">
        <v>288</v>
      </c>
      <c r="AE63" s="106" t="s">
        <v>292</v>
      </c>
      <c r="AF63" s="110" t="s">
        <v>293</v>
      </c>
      <c r="AG63" s="106"/>
      <c r="AH63" s="106"/>
      <c r="AI63" s="106"/>
      <c r="AJ63" s="106"/>
      <c r="AK63" s="106"/>
      <c r="AL63" s="106"/>
    </row>
    <row r="64" spans="1:38" ht="16" x14ac:dyDescent="0.2">
      <c r="A64" s="114"/>
      <c r="B64" s="66"/>
      <c r="C64" s="66"/>
      <c r="D64" s="66"/>
      <c r="E64" s="115"/>
      <c r="F64" s="115"/>
      <c r="G64" s="116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8"/>
      <c r="W64" s="66"/>
      <c r="X64" s="66"/>
      <c r="Y64" s="117"/>
      <c r="Z64" s="117"/>
      <c r="AA64" s="66"/>
      <c r="AB64" s="66"/>
      <c r="AC64" s="117"/>
      <c r="AD64" s="66"/>
      <c r="AE64" s="66"/>
      <c r="AF64" s="117"/>
      <c r="AG64" s="66"/>
      <c r="AH64" s="66"/>
      <c r="AI64" s="66"/>
      <c r="AJ64" s="66"/>
      <c r="AK64" s="66"/>
      <c r="AL64" s="66"/>
    </row>
    <row r="65" spans="1:38" ht="33.75" customHeight="1" x14ac:dyDescent="0.2">
      <c r="A65" s="105">
        <v>46104.664116979198</v>
      </c>
      <c r="B65" s="106" t="s">
        <v>58</v>
      </c>
      <c r="C65" s="106">
        <v>15</v>
      </c>
      <c r="D65" s="107" t="s">
        <v>59</v>
      </c>
      <c r="E65" s="108"/>
      <c r="F65" s="140" t="s">
        <v>348</v>
      </c>
      <c r="G65" s="109"/>
      <c r="H65" s="110">
        <v>4</v>
      </c>
      <c r="I65" s="110">
        <v>4</v>
      </c>
      <c r="J65" s="110"/>
      <c r="K65" s="110">
        <v>4</v>
      </c>
      <c r="L65" s="110">
        <v>4</v>
      </c>
      <c r="M65" s="110">
        <v>4</v>
      </c>
      <c r="N65" s="110"/>
      <c r="O65" s="110"/>
      <c r="P65" s="110"/>
      <c r="Q65" s="110"/>
      <c r="R65" s="110"/>
      <c r="S65" s="110"/>
      <c r="T65" s="110"/>
      <c r="U65" s="110">
        <v>2</v>
      </c>
      <c r="V65" s="111">
        <v>22</v>
      </c>
      <c r="W65" s="106"/>
      <c r="X65" s="140" t="s">
        <v>348</v>
      </c>
      <c r="Y65" s="110">
        <v>88</v>
      </c>
      <c r="Z65" s="110" t="s">
        <v>349</v>
      </c>
      <c r="AA65" s="106" t="s">
        <v>62</v>
      </c>
      <c r="AB65" s="106" t="s">
        <v>63</v>
      </c>
      <c r="AC65" s="110">
        <v>3470430253</v>
      </c>
      <c r="AD65" s="106" t="s">
        <v>58</v>
      </c>
      <c r="AE65" s="106" t="s">
        <v>64</v>
      </c>
      <c r="AF65" s="110" t="s">
        <v>65</v>
      </c>
      <c r="AG65" s="106"/>
      <c r="AH65" s="106"/>
      <c r="AI65" s="106"/>
      <c r="AJ65" s="106"/>
      <c r="AK65" s="106"/>
      <c r="AL65" s="106"/>
    </row>
    <row r="66" spans="1:38" ht="16" x14ac:dyDescent="0.2">
      <c r="A66" s="105">
        <v>46094.426322662002</v>
      </c>
      <c r="B66" s="106" t="s">
        <v>171</v>
      </c>
      <c r="C66" s="106">
        <v>16</v>
      </c>
      <c r="D66" s="106"/>
      <c r="E66" s="112" t="s">
        <v>172</v>
      </c>
      <c r="F66" s="108"/>
      <c r="G66" s="106" t="s">
        <v>350</v>
      </c>
      <c r="H66" s="110"/>
      <c r="I66" s="110"/>
      <c r="J66" s="110"/>
      <c r="K66" s="110"/>
      <c r="L66" s="110"/>
      <c r="M66" s="110"/>
      <c r="N66" s="110">
        <v>4</v>
      </c>
      <c r="O66" s="110">
        <v>4</v>
      </c>
      <c r="P66" s="110"/>
      <c r="Q66" s="110"/>
      <c r="R66" s="110">
        <v>2</v>
      </c>
      <c r="S66" s="110">
        <v>2</v>
      </c>
      <c r="T66" s="110"/>
      <c r="U66" s="110">
        <v>2</v>
      </c>
      <c r="V66" s="111">
        <v>14</v>
      </c>
      <c r="W66" s="106"/>
      <c r="X66" s="106" t="s">
        <v>350</v>
      </c>
      <c r="Y66" s="110"/>
      <c r="Z66" s="110"/>
      <c r="AA66" s="106" t="s">
        <v>175</v>
      </c>
      <c r="AB66" s="106" t="s">
        <v>176</v>
      </c>
      <c r="AC66" s="110" t="s">
        <v>177</v>
      </c>
      <c r="AD66" s="106" t="s">
        <v>171</v>
      </c>
      <c r="AE66" s="106" t="s">
        <v>178</v>
      </c>
      <c r="AF66" s="110" t="s">
        <v>179</v>
      </c>
      <c r="AG66" s="106"/>
      <c r="AH66" s="106"/>
      <c r="AI66" s="106"/>
      <c r="AJ66" s="106"/>
      <c r="AK66" s="106"/>
      <c r="AL66" s="106"/>
    </row>
    <row r="67" spans="1:38" ht="16" x14ac:dyDescent="0.2">
      <c r="A67" s="66"/>
      <c r="B67" s="66"/>
      <c r="C67" s="66"/>
      <c r="D67" s="66"/>
      <c r="E67" s="115"/>
      <c r="F67" s="115"/>
      <c r="G67" s="116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41"/>
      <c r="W67" s="66"/>
      <c r="X67" s="66"/>
      <c r="Y67" s="117"/>
      <c r="Z67" s="117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</row>
    <row r="68" spans="1:38" ht="16" x14ac:dyDescent="0.2">
      <c r="A68" s="142">
        <v>46107.488462534697</v>
      </c>
      <c r="B68" s="143" t="s">
        <v>294</v>
      </c>
      <c r="C68" s="106">
        <v>17</v>
      </c>
      <c r="D68" s="144" t="s">
        <v>295</v>
      </c>
      <c r="E68" s="145"/>
      <c r="F68" s="145" t="s">
        <v>296</v>
      </c>
      <c r="G68" s="146"/>
      <c r="H68" s="147">
        <v>4</v>
      </c>
      <c r="I68" s="147">
        <v>4</v>
      </c>
      <c r="J68" s="147"/>
      <c r="K68" s="147">
        <v>3</v>
      </c>
      <c r="L68" s="147">
        <v>3</v>
      </c>
      <c r="M68" s="147">
        <v>0</v>
      </c>
      <c r="N68" s="147"/>
      <c r="O68" s="147"/>
      <c r="P68" s="147"/>
      <c r="Q68" s="147"/>
      <c r="R68" s="147"/>
      <c r="S68" s="147"/>
      <c r="T68" s="147">
        <v>4</v>
      </c>
      <c r="U68" s="147">
        <v>3</v>
      </c>
      <c r="V68" s="148">
        <v>21</v>
      </c>
      <c r="W68" s="143" t="s">
        <v>297</v>
      </c>
      <c r="X68" s="145" t="s">
        <v>296</v>
      </c>
      <c r="Y68" s="147">
        <v>44</v>
      </c>
      <c r="Z68" s="147" t="s">
        <v>351</v>
      </c>
      <c r="AA68" s="143" t="s">
        <v>298</v>
      </c>
      <c r="AB68" s="143" t="s">
        <v>299</v>
      </c>
      <c r="AC68" s="147">
        <v>3381579269</v>
      </c>
      <c r="AD68" s="143" t="s">
        <v>294</v>
      </c>
      <c r="AE68" s="143" t="s">
        <v>300</v>
      </c>
      <c r="AF68" s="147" t="s">
        <v>301</v>
      </c>
      <c r="AG68" s="143"/>
      <c r="AH68" s="143"/>
      <c r="AI68" s="143"/>
      <c r="AJ68" s="143"/>
      <c r="AK68" s="143"/>
      <c r="AL68" s="143"/>
    </row>
    <row r="69" spans="1:38" ht="18" customHeight="1" x14ac:dyDescent="0.2">
      <c r="A69" s="105">
        <v>46105.5702922454</v>
      </c>
      <c r="B69" s="106" t="s">
        <v>256</v>
      </c>
      <c r="C69" s="106">
        <v>18</v>
      </c>
      <c r="D69" s="106"/>
      <c r="E69" s="112" t="s">
        <v>257</v>
      </c>
      <c r="F69" s="108"/>
      <c r="G69" s="109" t="s">
        <v>258</v>
      </c>
      <c r="H69" s="110"/>
      <c r="I69" s="110"/>
      <c r="J69" s="110"/>
      <c r="K69" s="110"/>
      <c r="L69" s="110"/>
      <c r="M69" s="110"/>
      <c r="N69" s="110">
        <v>4</v>
      </c>
      <c r="O69" s="110">
        <v>4</v>
      </c>
      <c r="P69" s="110">
        <v>4</v>
      </c>
      <c r="Q69" s="110">
        <v>4</v>
      </c>
      <c r="R69" s="110">
        <v>4</v>
      </c>
      <c r="S69" s="110">
        <v>4</v>
      </c>
      <c r="T69" s="110"/>
      <c r="U69" s="110">
        <v>2</v>
      </c>
      <c r="V69" s="111">
        <v>26</v>
      </c>
      <c r="W69" s="106"/>
      <c r="X69" s="106" t="s">
        <v>352</v>
      </c>
      <c r="Y69" s="110"/>
      <c r="Z69" s="110"/>
      <c r="AA69" s="106" t="s">
        <v>260</v>
      </c>
      <c r="AB69" s="106" t="s">
        <v>261</v>
      </c>
      <c r="AC69" s="110">
        <v>3333291696</v>
      </c>
      <c r="AD69" s="106" t="s">
        <v>256</v>
      </c>
      <c r="AE69" s="106" t="s">
        <v>262</v>
      </c>
      <c r="AF69" s="110" t="s">
        <v>263</v>
      </c>
      <c r="AG69" s="106"/>
      <c r="AH69" s="106"/>
      <c r="AI69" s="106"/>
      <c r="AJ69" s="106"/>
      <c r="AK69" s="106"/>
      <c r="AL69" s="106"/>
    </row>
    <row r="70" spans="1:38" ht="16" x14ac:dyDescent="0.2">
      <c r="A70" s="66"/>
      <c r="B70" s="66"/>
      <c r="C70" s="66"/>
      <c r="D70" s="66"/>
      <c r="E70" s="115"/>
      <c r="F70" s="115"/>
      <c r="G70" s="116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8"/>
      <c r="W70" s="66"/>
      <c r="X70" s="66"/>
      <c r="Y70" s="117"/>
      <c r="Z70" s="117"/>
      <c r="AA70" s="66"/>
      <c r="AB70" s="66"/>
      <c r="AC70" s="117"/>
      <c r="AD70" s="66"/>
      <c r="AE70" s="66"/>
      <c r="AF70" s="117"/>
      <c r="AG70" s="66"/>
      <c r="AH70" s="66"/>
      <c r="AI70" s="66"/>
      <c r="AJ70" s="66"/>
      <c r="AK70" s="66"/>
      <c r="AL70" s="66"/>
    </row>
    <row r="71" spans="1:38" ht="19.75" customHeight="1" x14ac:dyDescent="0.2">
      <c r="A71" s="149">
        <v>46093.445327673602</v>
      </c>
      <c r="B71" s="150" t="s">
        <v>32</v>
      </c>
      <c r="C71" s="150">
        <v>19</v>
      </c>
      <c r="D71" s="150" t="s">
        <v>33</v>
      </c>
      <c r="E71" s="151"/>
      <c r="F71" s="152" t="s">
        <v>34</v>
      </c>
      <c r="G71" s="153"/>
      <c r="H71" s="154">
        <v>4</v>
      </c>
      <c r="I71" s="154">
        <v>4</v>
      </c>
      <c r="J71" s="154"/>
      <c r="K71" s="154"/>
      <c r="L71" s="154">
        <v>4</v>
      </c>
      <c r="M71" s="154">
        <v>4</v>
      </c>
      <c r="N71" s="154"/>
      <c r="O71" s="154"/>
      <c r="P71" s="154"/>
      <c r="Q71" s="154"/>
      <c r="R71" s="154"/>
      <c r="S71" s="154"/>
      <c r="T71" s="154"/>
      <c r="U71" s="154">
        <v>2</v>
      </c>
      <c r="V71" s="155">
        <v>16</v>
      </c>
      <c r="W71" s="150"/>
      <c r="X71" s="152" t="s">
        <v>34</v>
      </c>
      <c r="Y71" s="154">
        <v>172</v>
      </c>
      <c r="Z71" s="154" t="s">
        <v>353</v>
      </c>
      <c r="AA71" s="150" t="s">
        <v>35</v>
      </c>
      <c r="AB71" s="150" t="s">
        <v>36</v>
      </c>
      <c r="AC71" s="154">
        <v>3482395743</v>
      </c>
      <c r="AD71" s="150" t="s">
        <v>32</v>
      </c>
      <c r="AE71" s="150" t="s">
        <v>37</v>
      </c>
      <c r="AF71" s="154" t="s">
        <v>38</v>
      </c>
      <c r="AG71" s="150"/>
      <c r="AH71" s="150"/>
      <c r="AI71" s="150"/>
      <c r="AJ71" s="150"/>
      <c r="AK71" s="150"/>
      <c r="AL71" s="150"/>
    </row>
    <row r="72" spans="1:38" ht="16" x14ac:dyDescent="0.2">
      <c r="A72" s="149">
        <v>46105.488898263902</v>
      </c>
      <c r="B72" s="150" t="s">
        <v>233</v>
      </c>
      <c r="C72" s="150">
        <v>20</v>
      </c>
      <c r="D72" s="150"/>
      <c r="E72" s="151" t="s">
        <v>234</v>
      </c>
      <c r="F72" s="152"/>
      <c r="G72" s="153" t="s">
        <v>235</v>
      </c>
      <c r="H72" s="154"/>
      <c r="I72" s="154"/>
      <c r="J72" s="154"/>
      <c r="K72" s="154"/>
      <c r="L72" s="154"/>
      <c r="M72" s="154"/>
      <c r="N72" s="154">
        <v>4</v>
      </c>
      <c r="O72" s="154">
        <v>4</v>
      </c>
      <c r="P72" s="154"/>
      <c r="Q72" s="154"/>
      <c r="R72" s="154">
        <v>4</v>
      </c>
      <c r="S72" s="154">
        <v>4</v>
      </c>
      <c r="T72" s="154"/>
      <c r="U72" s="154">
        <v>2</v>
      </c>
      <c r="V72" s="155">
        <v>18</v>
      </c>
      <c r="W72" s="150"/>
      <c r="X72" s="153" t="s">
        <v>235</v>
      </c>
      <c r="Y72" s="154"/>
      <c r="Z72" s="154"/>
      <c r="AA72" s="150" t="s">
        <v>236</v>
      </c>
      <c r="AB72" s="150" t="s">
        <v>237</v>
      </c>
      <c r="AC72" s="154">
        <v>3389977818</v>
      </c>
      <c r="AD72" s="150" t="s">
        <v>238</v>
      </c>
      <c r="AE72" s="150" t="s">
        <v>239</v>
      </c>
      <c r="AF72" s="154" t="s">
        <v>240</v>
      </c>
      <c r="AG72" s="150"/>
      <c r="AH72" s="150"/>
      <c r="AI72" s="150"/>
      <c r="AJ72" s="150"/>
      <c r="AK72" s="150"/>
      <c r="AL72" s="150"/>
    </row>
    <row r="73" spans="1:38" ht="16" x14ac:dyDescent="0.2">
      <c r="A73" s="114"/>
      <c r="B73" s="66"/>
      <c r="C73" s="66"/>
      <c r="D73" s="66"/>
      <c r="E73" s="115"/>
      <c r="F73" s="115"/>
      <c r="G73" s="116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8"/>
      <c r="W73" s="66"/>
      <c r="X73" s="66"/>
      <c r="Y73" s="117"/>
      <c r="Z73" s="117"/>
      <c r="AA73" s="66"/>
      <c r="AB73" s="66"/>
      <c r="AC73" s="117"/>
      <c r="AD73" s="66"/>
      <c r="AE73" s="66"/>
      <c r="AF73" s="117"/>
      <c r="AG73" s="66"/>
      <c r="AH73" s="66"/>
      <c r="AI73" s="66"/>
      <c r="AJ73" s="66"/>
      <c r="AK73" s="66"/>
      <c r="AL73" s="66"/>
    </row>
    <row r="74" spans="1:38" ht="26" customHeight="1" x14ac:dyDescent="0.2">
      <c r="A74" s="156">
        <v>46097.330513784698</v>
      </c>
      <c r="B74" s="157" t="s">
        <v>180</v>
      </c>
      <c r="C74" s="157">
        <v>21</v>
      </c>
      <c r="D74" s="157"/>
      <c r="E74" s="151" t="s">
        <v>181</v>
      </c>
      <c r="F74" s="152"/>
      <c r="G74" s="153" t="s">
        <v>182</v>
      </c>
      <c r="H74" s="158"/>
      <c r="I74" s="158"/>
      <c r="J74" s="158"/>
      <c r="K74" s="158"/>
      <c r="L74" s="158"/>
      <c r="M74" s="158"/>
      <c r="N74" s="158">
        <v>3</v>
      </c>
      <c r="O74" s="158">
        <v>4</v>
      </c>
      <c r="P74" s="158">
        <v>3</v>
      </c>
      <c r="Q74" s="158">
        <v>4</v>
      </c>
      <c r="R74" s="158">
        <v>2</v>
      </c>
      <c r="S74" s="158">
        <v>2</v>
      </c>
      <c r="T74" s="158"/>
      <c r="U74" s="158">
        <v>2</v>
      </c>
      <c r="V74" s="155">
        <v>20</v>
      </c>
      <c r="W74" s="157"/>
      <c r="X74" s="159" t="s">
        <v>354</v>
      </c>
      <c r="Y74" s="158">
        <v>76</v>
      </c>
      <c r="Z74" s="158" t="s">
        <v>355</v>
      </c>
      <c r="AA74" s="157" t="s">
        <v>184</v>
      </c>
      <c r="AB74" s="157" t="s">
        <v>126</v>
      </c>
      <c r="AC74" s="158">
        <v>3497825038</v>
      </c>
      <c r="AD74" s="157" t="s">
        <v>180</v>
      </c>
      <c r="AE74" s="157" t="s">
        <v>185</v>
      </c>
      <c r="AF74" s="158" t="s">
        <v>186</v>
      </c>
      <c r="AG74" s="157"/>
      <c r="AH74" s="157"/>
      <c r="AI74" s="157"/>
      <c r="AJ74" s="157"/>
      <c r="AK74" s="157"/>
      <c r="AL74" s="157"/>
    </row>
    <row r="75" spans="1:38" ht="39.75" customHeight="1" x14ac:dyDescent="0.2">
      <c r="A75" s="156">
        <v>46103.906393761601</v>
      </c>
      <c r="B75" s="157" t="s">
        <v>49</v>
      </c>
      <c r="C75" s="157">
        <v>22</v>
      </c>
      <c r="D75" s="150" t="s">
        <v>50</v>
      </c>
      <c r="E75" s="152"/>
      <c r="F75" s="160" t="s">
        <v>356</v>
      </c>
      <c r="G75" s="153"/>
      <c r="H75" s="158">
        <v>4</v>
      </c>
      <c r="I75" s="158">
        <v>4</v>
      </c>
      <c r="J75" s="158">
        <v>4</v>
      </c>
      <c r="K75" s="158">
        <v>4</v>
      </c>
      <c r="L75" s="158">
        <v>4</v>
      </c>
      <c r="M75" s="158"/>
      <c r="N75" s="158"/>
      <c r="O75" s="158"/>
      <c r="P75" s="158"/>
      <c r="Q75" s="158"/>
      <c r="R75" s="158"/>
      <c r="S75" s="158"/>
      <c r="T75" s="158"/>
      <c r="U75" s="158">
        <v>3</v>
      </c>
      <c r="V75" s="155">
        <v>23</v>
      </c>
      <c r="W75" s="157" t="s">
        <v>52</v>
      </c>
      <c r="X75" s="161" t="s">
        <v>356</v>
      </c>
      <c r="Y75" s="158"/>
      <c r="Z75" s="158"/>
      <c r="AA75" s="157" t="s">
        <v>53</v>
      </c>
      <c r="AB75" s="157" t="s">
        <v>54</v>
      </c>
      <c r="AC75" s="158">
        <v>3406893094</v>
      </c>
      <c r="AD75" s="157" t="s">
        <v>55</v>
      </c>
      <c r="AE75" s="157" t="s">
        <v>56</v>
      </c>
      <c r="AF75" s="158" t="s">
        <v>57</v>
      </c>
      <c r="AG75" s="157"/>
      <c r="AH75" s="157"/>
      <c r="AI75" s="157"/>
      <c r="AJ75" s="157"/>
      <c r="AK75" s="157"/>
      <c r="AL75" s="157"/>
    </row>
    <row r="76" spans="1:38" ht="16" x14ac:dyDescent="0.2">
      <c r="A76" s="114"/>
      <c r="B76" s="66"/>
      <c r="C76" s="66"/>
      <c r="D76" s="66"/>
      <c r="E76" s="115"/>
      <c r="F76" s="115"/>
      <c r="G76" s="116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8"/>
      <c r="W76" s="66"/>
      <c r="X76" s="66"/>
      <c r="Y76" s="117"/>
      <c r="Z76" s="117"/>
      <c r="AA76" s="66"/>
      <c r="AB76" s="66"/>
      <c r="AC76" s="117"/>
      <c r="AD76" s="66"/>
      <c r="AE76" s="66"/>
      <c r="AF76" s="117"/>
      <c r="AG76" s="66"/>
      <c r="AH76" s="66"/>
      <c r="AI76" s="66"/>
      <c r="AJ76" s="66"/>
      <c r="AK76" s="66"/>
      <c r="AL76" s="66"/>
    </row>
    <row r="77" spans="1:38" ht="16" x14ac:dyDescent="0.2">
      <c r="A77" s="105">
        <v>46098.446696203697</v>
      </c>
      <c r="B77" s="106" t="s">
        <v>82</v>
      </c>
      <c r="C77" s="106">
        <v>23</v>
      </c>
      <c r="D77" s="107" t="s">
        <v>83</v>
      </c>
      <c r="E77" s="108"/>
      <c r="F77" s="108" t="s">
        <v>84</v>
      </c>
      <c r="G77" s="109"/>
      <c r="H77" s="110"/>
      <c r="I77" s="110"/>
      <c r="J77" s="110">
        <v>4</v>
      </c>
      <c r="K77" s="110">
        <v>4</v>
      </c>
      <c r="L77" s="110"/>
      <c r="M77" s="110"/>
      <c r="N77" s="110"/>
      <c r="O77" s="110"/>
      <c r="P77" s="110"/>
      <c r="Q77" s="110"/>
      <c r="R77" s="110"/>
      <c r="S77" s="110"/>
      <c r="T77" s="110"/>
      <c r="U77" s="110">
        <v>1</v>
      </c>
      <c r="V77" s="111">
        <v>9</v>
      </c>
      <c r="W77" s="106"/>
      <c r="X77" s="108" t="s">
        <v>84</v>
      </c>
      <c r="Y77" s="110">
        <v>113</v>
      </c>
      <c r="Z77" s="110" t="s">
        <v>357</v>
      </c>
      <c r="AA77" s="106" t="s">
        <v>85</v>
      </c>
      <c r="AB77" s="106" t="s">
        <v>86</v>
      </c>
      <c r="AC77" s="110">
        <v>3408959144</v>
      </c>
      <c r="AD77" s="106" t="s">
        <v>87</v>
      </c>
      <c r="AE77" s="106" t="s">
        <v>88</v>
      </c>
      <c r="AF77" s="110" t="s">
        <v>89</v>
      </c>
      <c r="AG77" s="106"/>
      <c r="AH77" s="106"/>
      <c r="AI77" s="106"/>
      <c r="AJ77" s="106"/>
      <c r="AK77" s="106"/>
      <c r="AL77" s="106"/>
    </row>
    <row r="78" spans="1:38" ht="16" x14ac:dyDescent="0.2">
      <c r="A78" s="105">
        <v>46099.457253993103</v>
      </c>
      <c r="B78" s="106" t="s">
        <v>196</v>
      </c>
      <c r="C78" s="106">
        <v>24</v>
      </c>
      <c r="D78" s="106"/>
      <c r="E78" s="112" t="s">
        <v>197</v>
      </c>
      <c r="F78" s="108"/>
      <c r="G78" s="109" t="s">
        <v>198</v>
      </c>
      <c r="H78" s="110"/>
      <c r="I78" s="110"/>
      <c r="J78" s="110"/>
      <c r="K78" s="110"/>
      <c r="L78" s="110"/>
      <c r="M78" s="110"/>
      <c r="N78" s="110"/>
      <c r="O78" s="110">
        <v>4</v>
      </c>
      <c r="P78" s="110">
        <v>4</v>
      </c>
      <c r="Q78" s="110">
        <v>4</v>
      </c>
      <c r="R78" s="110">
        <v>1</v>
      </c>
      <c r="S78" s="110"/>
      <c r="T78" s="110"/>
      <c r="U78" s="110">
        <v>1</v>
      </c>
      <c r="V78" s="111">
        <v>14</v>
      </c>
      <c r="W78" s="106"/>
      <c r="X78" s="109" t="s">
        <v>198</v>
      </c>
      <c r="Y78" s="110"/>
      <c r="Z78" s="110"/>
      <c r="AA78" s="106" t="s">
        <v>199</v>
      </c>
      <c r="AB78" s="106" t="s">
        <v>200</v>
      </c>
      <c r="AC78" s="110">
        <v>3408447302</v>
      </c>
      <c r="AD78" s="106" t="s">
        <v>201</v>
      </c>
      <c r="AE78" s="106" t="s">
        <v>196</v>
      </c>
      <c r="AF78" s="110" t="s">
        <v>202</v>
      </c>
      <c r="AG78" s="106"/>
      <c r="AH78" s="106"/>
      <c r="AI78" s="106"/>
      <c r="AJ78" s="106"/>
      <c r="AK78" s="106"/>
      <c r="AL78" s="106"/>
    </row>
    <row r="79" spans="1:38" ht="16" x14ac:dyDescent="0.2">
      <c r="A79" s="105"/>
      <c r="B79" s="106"/>
      <c r="C79" s="106">
        <v>25</v>
      </c>
      <c r="D79" s="106"/>
      <c r="E79" s="162" t="s">
        <v>358</v>
      </c>
      <c r="F79" s="108"/>
      <c r="G79" s="109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1">
        <v>15</v>
      </c>
      <c r="W79" s="106"/>
      <c r="X79" s="106"/>
      <c r="Y79" s="110"/>
      <c r="Z79" s="110"/>
      <c r="AA79" s="106" t="s">
        <v>359</v>
      </c>
      <c r="AB79" s="106" t="s">
        <v>360</v>
      </c>
      <c r="AC79" s="110" t="s">
        <v>361</v>
      </c>
      <c r="AD79" s="106" t="s">
        <v>362</v>
      </c>
      <c r="AE79" s="106"/>
      <c r="AF79" s="110"/>
      <c r="AG79" s="106"/>
      <c r="AH79" s="106"/>
      <c r="AI79" s="106"/>
      <c r="AJ79" s="106"/>
      <c r="AK79" s="106"/>
      <c r="AL79" s="106"/>
    </row>
    <row r="80" spans="1:38" ht="16" x14ac:dyDescent="0.2">
      <c r="A80" s="66"/>
      <c r="B80" s="66"/>
      <c r="C80" s="66"/>
      <c r="D80" s="66"/>
      <c r="E80" s="115"/>
      <c r="F80" s="115"/>
      <c r="G80" s="116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8"/>
      <c r="W80" s="66"/>
      <c r="X80" s="66"/>
      <c r="Y80" s="117"/>
      <c r="Z80" s="117"/>
      <c r="AA80" s="66"/>
      <c r="AB80" s="66"/>
      <c r="AC80" s="117"/>
      <c r="AD80" s="66"/>
      <c r="AE80" s="66"/>
      <c r="AF80" s="117"/>
      <c r="AG80" s="66"/>
      <c r="AH80" s="66"/>
      <c r="AI80" s="66"/>
      <c r="AJ80" s="66"/>
      <c r="AK80" s="66"/>
      <c r="AL80" s="66"/>
    </row>
    <row r="81" spans="1:38" ht="23.5" customHeight="1" x14ac:dyDescent="0.2">
      <c r="A81" s="105">
        <v>46105.364532118103</v>
      </c>
      <c r="B81" s="106" t="s">
        <v>90</v>
      </c>
      <c r="C81" s="106">
        <v>26</v>
      </c>
      <c r="D81" s="107" t="s">
        <v>91</v>
      </c>
      <c r="E81" s="108"/>
      <c r="F81" s="108" t="s">
        <v>92</v>
      </c>
      <c r="G81" s="109"/>
      <c r="H81" s="110">
        <v>4</v>
      </c>
      <c r="I81" s="110">
        <v>4</v>
      </c>
      <c r="J81" s="110">
        <v>4</v>
      </c>
      <c r="K81" s="110">
        <v>4</v>
      </c>
      <c r="L81" s="110">
        <v>0</v>
      </c>
      <c r="M81" s="110">
        <v>0</v>
      </c>
      <c r="N81" s="110">
        <v>0</v>
      </c>
      <c r="O81" s="110">
        <v>0</v>
      </c>
      <c r="P81" s="110">
        <v>0</v>
      </c>
      <c r="Q81" s="110">
        <v>0</v>
      </c>
      <c r="R81" s="110">
        <v>0</v>
      </c>
      <c r="S81" s="110">
        <v>0</v>
      </c>
      <c r="T81" s="110">
        <v>0</v>
      </c>
      <c r="U81" s="110">
        <v>2</v>
      </c>
      <c r="V81" s="111">
        <v>18</v>
      </c>
      <c r="W81" s="106" t="s">
        <v>93</v>
      </c>
      <c r="X81" s="163" t="s">
        <v>92</v>
      </c>
      <c r="Y81" s="110">
        <v>113</v>
      </c>
      <c r="Z81" s="110" t="s">
        <v>363</v>
      </c>
      <c r="AA81" s="106" t="s">
        <v>94</v>
      </c>
      <c r="AB81" s="106" t="s">
        <v>95</v>
      </c>
      <c r="AC81" s="110">
        <v>3395616062</v>
      </c>
      <c r="AD81" s="106" t="s">
        <v>90</v>
      </c>
      <c r="AE81" s="106" t="s">
        <v>96</v>
      </c>
      <c r="AF81" s="110" t="s">
        <v>97</v>
      </c>
      <c r="AG81" s="106"/>
      <c r="AH81" s="106"/>
      <c r="AI81" s="106"/>
      <c r="AJ81" s="106"/>
      <c r="AK81" s="106"/>
      <c r="AL81" s="106"/>
    </row>
    <row r="82" spans="1:38" ht="35" customHeight="1" x14ac:dyDescent="0.2">
      <c r="A82" s="105">
        <v>46107.444429317096</v>
      </c>
      <c r="B82" s="106" t="s">
        <v>272</v>
      </c>
      <c r="C82" s="106">
        <v>27</v>
      </c>
      <c r="D82" s="107" t="s">
        <v>273</v>
      </c>
      <c r="E82" s="108"/>
      <c r="F82" s="108" t="s">
        <v>274</v>
      </c>
      <c r="G82" s="109"/>
      <c r="H82" s="110">
        <v>4</v>
      </c>
      <c r="I82" s="110">
        <v>4</v>
      </c>
      <c r="J82" s="110">
        <v>4</v>
      </c>
      <c r="K82" s="110">
        <v>4</v>
      </c>
      <c r="L82" s="110"/>
      <c r="M82" s="110"/>
      <c r="N82" s="110"/>
      <c r="O82" s="110"/>
      <c r="P82" s="110"/>
      <c r="Q82" s="110"/>
      <c r="R82" s="110"/>
      <c r="S82" s="110"/>
      <c r="T82" s="110"/>
      <c r="U82" s="110">
        <v>2</v>
      </c>
      <c r="V82" s="111">
        <v>18</v>
      </c>
      <c r="W82" s="106"/>
      <c r="X82" s="164" t="s">
        <v>364</v>
      </c>
      <c r="Y82" s="110"/>
      <c r="Z82" s="110"/>
      <c r="AA82" s="106" t="s">
        <v>276</v>
      </c>
      <c r="AB82" s="106" t="s">
        <v>277</v>
      </c>
      <c r="AC82" s="110">
        <v>3470349911</v>
      </c>
      <c r="AD82" s="106" t="s">
        <v>272</v>
      </c>
      <c r="AE82" s="106" t="s">
        <v>278</v>
      </c>
      <c r="AF82" s="110" t="s">
        <v>279</v>
      </c>
      <c r="AG82" s="106"/>
      <c r="AH82" s="106"/>
      <c r="AI82" s="106"/>
      <c r="AJ82" s="106"/>
      <c r="AK82" s="106"/>
      <c r="AL82" s="106"/>
    </row>
    <row r="83" spans="1:38" ht="24" customHeight="1" x14ac:dyDescent="0.2">
      <c r="A83" s="105">
        <v>46105.922975428199</v>
      </c>
      <c r="B83" s="106" t="s">
        <v>122</v>
      </c>
      <c r="C83" s="106">
        <v>28</v>
      </c>
      <c r="D83" s="107" t="s">
        <v>123</v>
      </c>
      <c r="E83" s="108"/>
      <c r="F83" s="108" t="s">
        <v>124</v>
      </c>
      <c r="G83" s="109"/>
      <c r="H83" s="110">
        <v>4</v>
      </c>
      <c r="I83" s="110">
        <v>4</v>
      </c>
      <c r="J83" s="110">
        <v>4</v>
      </c>
      <c r="K83" s="110">
        <v>4</v>
      </c>
      <c r="L83" s="110"/>
      <c r="M83" s="110"/>
      <c r="N83" s="110"/>
      <c r="O83" s="110"/>
      <c r="P83" s="110"/>
      <c r="Q83" s="110"/>
      <c r="R83" s="110"/>
      <c r="S83" s="110"/>
      <c r="T83" s="110"/>
      <c r="U83" s="110">
        <v>2</v>
      </c>
      <c r="V83" s="111">
        <v>18</v>
      </c>
      <c r="W83" s="106"/>
      <c r="X83" s="163" t="s">
        <v>365</v>
      </c>
      <c r="Y83" s="110"/>
      <c r="Z83" s="110"/>
      <c r="AA83" s="106" t="s">
        <v>125</v>
      </c>
      <c r="AB83" s="106" t="s">
        <v>126</v>
      </c>
      <c r="AC83" s="110" t="s">
        <v>127</v>
      </c>
      <c r="AD83" s="106" t="s">
        <v>128</v>
      </c>
      <c r="AE83" s="106" t="s">
        <v>129</v>
      </c>
      <c r="AF83" s="110" t="s">
        <v>130</v>
      </c>
      <c r="AG83" s="106"/>
      <c r="AH83" s="106"/>
      <c r="AI83" s="106"/>
      <c r="AJ83" s="106"/>
      <c r="AK83" s="106"/>
      <c r="AL83" s="106"/>
    </row>
    <row r="84" spans="1:38" ht="16" x14ac:dyDescent="0.2">
      <c r="A84" s="114"/>
      <c r="B84" s="66"/>
      <c r="C84" s="66"/>
      <c r="D84" s="66"/>
      <c r="E84" s="115"/>
      <c r="F84" s="115"/>
      <c r="G84" s="116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8"/>
      <c r="W84" s="66"/>
      <c r="X84" s="66"/>
      <c r="Y84" s="117"/>
      <c r="Z84" s="117"/>
      <c r="AA84" s="66"/>
      <c r="AB84" s="66"/>
      <c r="AC84" s="117"/>
      <c r="AD84" s="66"/>
      <c r="AE84" s="66"/>
      <c r="AF84" s="117"/>
      <c r="AG84" s="66"/>
      <c r="AH84" s="66"/>
      <c r="AI84" s="66"/>
      <c r="AJ84" s="66"/>
      <c r="AK84" s="66"/>
      <c r="AL84" s="66"/>
    </row>
    <row r="85" spans="1:38" ht="16" x14ac:dyDescent="0.2">
      <c r="A85" s="142">
        <v>46108.541275497701</v>
      </c>
      <c r="B85" s="143" t="s">
        <v>317</v>
      </c>
      <c r="C85" s="143">
        <v>29</v>
      </c>
      <c r="D85" s="143"/>
      <c r="E85" s="165" t="s">
        <v>318</v>
      </c>
      <c r="F85" s="145"/>
      <c r="G85" s="146" t="s">
        <v>366</v>
      </c>
      <c r="H85" s="147"/>
      <c r="I85" s="147"/>
      <c r="J85" s="147"/>
      <c r="K85" s="147"/>
      <c r="L85" s="147"/>
      <c r="M85" s="147"/>
      <c r="N85" s="147">
        <v>4</v>
      </c>
      <c r="O85" s="147">
        <v>4</v>
      </c>
      <c r="P85" s="147">
        <v>4</v>
      </c>
      <c r="Q85" s="147">
        <v>4</v>
      </c>
      <c r="R85" s="147"/>
      <c r="S85" s="147">
        <v>4</v>
      </c>
      <c r="T85" s="147">
        <v>4</v>
      </c>
      <c r="U85" s="147">
        <v>2</v>
      </c>
      <c r="V85" s="148">
        <v>26</v>
      </c>
      <c r="W85" s="143" t="s">
        <v>320</v>
      </c>
      <c r="X85" s="146" t="s">
        <v>366</v>
      </c>
      <c r="Y85" s="147">
        <v>92</v>
      </c>
      <c r="Z85" s="147" t="s">
        <v>367</v>
      </c>
      <c r="AA85" s="143" t="s">
        <v>322</v>
      </c>
      <c r="AB85" s="143" t="s">
        <v>104</v>
      </c>
      <c r="AC85" s="143" t="s">
        <v>323</v>
      </c>
      <c r="AD85" s="143" t="s">
        <v>317</v>
      </c>
      <c r="AE85" s="143" t="s">
        <v>324</v>
      </c>
      <c r="AF85" s="143" t="s">
        <v>325</v>
      </c>
      <c r="AG85" s="143"/>
      <c r="AH85" s="143"/>
      <c r="AI85" s="143"/>
      <c r="AJ85" s="143"/>
      <c r="AK85" s="143"/>
      <c r="AL85" s="143"/>
    </row>
    <row r="86" spans="1:38" ht="16" x14ac:dyDescent="0.2">
      <c r="A86" s="105">
        <v>46101.649919213</v>
      </c>
      <c r="B86" s="106" t="s">
        <v>203</v>
      </c>
      <c r="C86" s="106">
        <v>30</v>
      </c>
      <c r="D86" s="106"/>
      <c r="E86" s="112" t="s">
        <v>204</v>
      </c>
      <c r="F86" s="108"/>
      <c r="G86" s="109" t="s">
        <v>205</v>
      </c>
      <c r="H86" s="110"/>
      <c r="I86" s="110">
        <v>0</v>
      </c>
      <c r="J86" s="110"/>
      <c r="K86" s="110"/>
      <c r="L86" s="110"/>
      <c r="M86" s="110"/>
      <c r="N86" s="110">
        <v>4</v>
      </c>
      <c r="O86" s="110">
        <v>4</v>
      </c>
      <c r="P86" s="110"/>
      <c r="Q86" s="110">
        <v>4</v>
      </c>
      <c r="R86" s="110">
        <v>3</v>
      </c>
      <c r="S86" s="110">
        <v>4</v>
      </c>
      <c r="T86" s="110"/>
      <c r="U86" s="110">
        <v>2</v>
      </c>
      <c r="V86" s="111">
        <v>21</v>
      </c>
      <c r="W86" s="106"/>
      <c r="X86" s="109" t="s">
        <v>205</v>
      </c>
      <c r="Y86" s="110"/>
      <c r="Z86" s="110"/>
      <c r="AA86" s="106" t="s">
        <v>206</v>
      </c>
      <c r="AB86" s="106" t="s">
        <v>207</v>
      </c>
      <c r="AC86" s="110">
        <v>3494760926</v>
      </c>
      <c r="AD86" s="106" t="s">
        <v>208</v>
      </c>
      <c r="AE86" s="106" t="s">
        <v>203</v>
      </c>
      <c r="AF86" s="110" t="s">
        <v>209</v>
      </c>
      <c r="AG86" s="106"/>
      <c r="AH86" s="106"/>
      <c r="AI86" s="106"/>
      <c r="AJ86" s="106"/>
      <c r="AK86" s="106"/>
      <c r="AL86" s="106"/>
    </row>
    <row r="87" spans="1:38" ht="16" x14ac:dyDescent="0.2">
      <c r="A87" s="66"/>
      <c r="B87" s="66"/>
      <c r="C87" s="66"/>
      <c r="D87" s="66"/>
      <c r="E87" s="115"/>
      <c r="F87" s="115"/>
      <c r="G87" s="116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8"/>
      <c r="W87" s="66"/>
      <c r="X87" s="66"/>
      <c r="Y87" s="117"/>
      <c r="Z87" s="117"/>
      <c r="AA87" s="66"/>
      <c r="AB87" s="66"/>
      <c r="AC87" s="117"/>
      <c r="AD87" s="66"/>
      <c r="AE87" s="66"/>
      <c r="AF87" s="117"/>
      <c r="AG87" s="66"/>
      <c r="AH87" s="66"/>
      <c r="AI87" s="66"/>
      <c r="AJ87" s="66"/>
      <c r="AK87" s="66"/>
      <c r="AL87" s="66"/>
    </row>
    <row r="88" spans="1:38" ht="51.25" customHeight="1" x14ac:dyDescent="0.2">
      <c r="A88" s="105">
        <v>46104.959452789401</v>
      </c>
      <c r="B88" s="106" t="s">
        <v>131</v>
      </c>
      <c r="C88" s="106">
        <v>31</v>
      </c>
      <c r="D88" s="107" t="s">
        <v>132</v>
      </c>
      <c r="E88" s="108"/>
      <c r="F88" s="140" t="s">
        <v>368</v>
      </c>
      <c r="G88" s="109"/>
      <c r="H88" s="110">
        <v>4</v>
      </c>
      <c r="I88" s="110">
        <v>4</v>
      </c>
      <c r="J88" s="110">
        <v>4</v>
      </c>
      <c r="K88" s="110">
        <v>4</v>
      </c>
      <c r="L88" s="110">
        <v>4</v>
      </c>
      <c r="M88" s="110">
        <v>4</v>
      </c>
      <c r="N88" s="110"/>
      <c r="O88" s="110"/>
      <c r="P88" s="110"/>
      <c r="Q88" s="110"/>
      <c r="R88" s="110"/>
      <c r="S88" s="110"/>
      <c r="T88" s="110"/>
      <c r="U88" s="110">
        <v>2</v>
      </c>
      <c r="V88" s="111">
        <v>26</v>
      </c>
      <c r="W88" s="106" t="s">
        <v>134</v>
      </c>
      <c r="X88" s="140" t="s">
        <v>368</v>
      </c>
      <c r="Y88" s="110">
        <v>185</v>
      </c>
      <c r="Z88" s="110" t="s">
        <v>369</v>
      </c>
      <c r="AA88" s="106" t="s">
        <v>136</v>
      </c>
      <c r="AB88" s="106" t="s">
        <v>137</v>
      </c>
      <c r="AC88" s="110">
        <v>3342488322</v>
      </c>
      <c r="AD88" s="106" t="s">
        <v>131</v>
      </c>
      <c r="AE88" s="106" t="s">
        <v>138</v>
      </c>
      <c r="AF88" s="110" t="s">
        <v>139</v>
      </c>
      <c r="AG88" s="106"/>
      <c r="AH88" s="106"/>
      <c r="AI88" s="106"/>
      <c r="AJ88" s="106"/>
      <c r="AK88" s="106"/>
      <c r="AL88" s="106"/>
    </row>
    <row r="89" spans="1:38" ht="22.75" customHeight="1" x14ac:dyDescent="0.2">
      <c r="A89" s="105">
        <v>46104.498762546304</v>
      </c>
      <c r="B89" s="106" t="s">
        <v>218</v>
      </c>
      <c r="C89" s="106">
        <v>32</v>
      </c>
      <c r="D89" s="106"/>
      <c r="E89" s="112" t="s">
        <v>219</v>
      </c>
      <c r="F89" s="108"/>
      <c r="G89" s="109" t="s">
        <v>220</v>
      </c>
      <c r="H89" s="110">
        <v>0</v>
      </c>
      <c r="I89" s="110">
        <v>0</v>
      </c>
      <c r="J89" s="110">
        <v>0</v>
      </c>
      <c r="K89" s="110">
        <v>0</v>
      </c>
      <c r="L89" s="110">
        <v>0</v>
      </c>
      <c r="M89" s="110">
        <v>0</v>
      </c>
      <c r="N89" s="110">
        <v>4</v>
      </c>
      <c r="O89" s="110">
        <v>4</v>
      </c>
      <c r="P89" s="110">
        <v>0</v>
      </c>
      <c r="Q89" s="110">
        <v>0</v>
      </c>
      <c r="R89" s="110">
        <v>0</v>
      </c>
      <c r="S89" s="110">
        <v>4</v>
      </c>
      <c r="T89" s="110">
        <v>0</v>
      </c>
      <c r="U89" s="110">
        <v>1</v>
      </c>
      <c r="V89" s="111">
        <v>13</v>
      </c>
      <c r="W89" s="106"/>
      <c r="X89" s="109" t="s">
        <v>220</v>
      </c>
      <c r="Y89" s="110"/>
      <c r="Z89" s="110"/>
      <c r="AA89" s="106" t="s">
        <v>221</v>
      </c>
      <c r="AB89" s="106" t="s">
        <v>222</v>
      </c>
      <c r="AC89" s="110">
        <v>3423162722</v>
      </c>
      <c r="AD89" s="106" t="s">
        <v>223</v>
      </c>
      <c r="AE89" s="106" t="s">
        <v>218</v>
      </c>
      <c r="AF89" s="110" t="s">
        <v>224</v>
      </c>
      <c r="AG89" s="106"/>
      <c r="AH89" s="106"/>
      <c r="AI89" s="106"/>
      <c r="AJ89" s="106"/>
      <c r="AK89" s="106"/>
      <c r="AL89" s="106"/>
    </row>
    <row r="90" spans="1:38" ht="16" x14ac:dyDescent="0.2">
      <c r="A90" s="66"/>
      <c r="B90" s="66"/>
      <c r="C90" s="66"/>
      <c r="D90" s="66"/>
      <c r="E90" s="115"/>
      <c r="F90" s="115"/>
      <c r="G90" s="116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8"/>
      <c r="W90" s="66"/>
      <c r="X90" s="66"/>
      <c r="Y90" s="117"/>
      <c r="Z90" s="117"/>
      <c r="AA90" s="66"/>
      <c r="AB90" s="66"/>
      <c r="AC90" s="117"/>
      <c r="AD90" s="66"/>
      <c r="AE90" s="66"/>
      <c r="AF90" s="117"/>
      <c r="AG90" s="66"/>
      <c r="AH90" s="66"/>
      <c r="AI90" s="66"/>
      <c r="AJ90" s="66"/>
      <c r="AK90" s="66"/>
      <c r="AL90" s="66"/>
    </row>
    <row r="91" spans="1:38" ht="32.5" customHeight="1" x14ac:dyDescent="0.2">
      <c r="A91" s="105">
        <v>46107.820398726901</v>
      </c>
      <c r="B91" s="106" t="s">
        <v>302</v>
      </c>
      <c r="C91" s="106">
        <v>33</v>
      </c>
      <c r="D91" s="106"/>
      <c r="E91" s="112" t="s">
        <v>303</v>
      </c>
      <c r="F91" s="108"/>
      <c r="G91" s="138" t="s">
        <v>370</v>
      </c>
      <c r="H91" s="110"/>
      <c r="I91" s="110"/>
      <c r="J91" s="110"/>
      <c r="K91" s="110"/>
      <c r="L91" s="110"/>
      <c r="M91" s="110"/>
      <c r="N91" s="110">
        <v>4</v>
      </c>
      <c r="O91" s="110">
        <v>4</v>
      </c>
      <c r="P91" s="110"/>
      <c r="Q91" s="110">
        <v>4</v>
      </c>
      <c r="R91" s="110">
        <v>4</v>
      </c>
      <c r="S91" s="110">
        <v>4</v>
      </c>
      <c r="T91" s="110"/>
      <c r="U91" s="110">
        <v>2</v>
      </c>
      <c r="V91" s="111">
        <v>22</v>
      </c>
      <c r="W91" s="106"/>
      <c r="X91" s="138" t="s">
        <v>371</v>
      </c>
      <c r="Y91" s="110">
        <v>122</v>
      </c>
      <c r="Z91" s="110" t="s">
        <v>372</v>
      </c>
      <c r="AA91" s="106" t="s">
        <v>305</v>
      </c>
      <c r="AB91" s="106" t="s">
        <v>306</v>
      </c>
      <c r="AC91" s="110">
        <v>3356946071</v>
      </c>
      <c r="AD91" s="106" t="s">
        <v>307</v>
      </c>
      <c r="AE91" s="106" t="s">
        <v>308</v>
      </c>
      <c r="AF91" s="110" t="s">
        <v>309</v>
      </c>
      <c r="AG91" s="106"/>
      <c r="AH91" s="106"/>
      <c r="AI91" s="106"/>
      <c r="AJ91" s="106"/>
      <c r="AK91" s="106"/>
      <c r="AL91" s="106"/>
    </row>
    <row r="92" spans="1:38" ht="16" x14ac:dyDescent="0.2">
      <c r="A92" s="105">
        <v>46108.454293194402</v>
      </c>
      <c r="B92" s="106" t="s">
        <v>310</v>
      </c>
      <c r="C92" s="106">
        <v>34</v>
      </c>
      <c r="D92" s="106"/>
      <c r="E92" s="112" t="s">
        <v>311</v>
      </c>
      <c r="F92" s="108"/>
      <c r="G92" s="109" t="s">
        <v>312</v>
      </c>
      <c r="H92" s="110"/>
      <c r="I92" s="110"/>
      <c r="J92" s="110"/>
      <c r="K92" s="110"/>
      <c r="L92" s="110"/>
      <c r="M92" s="110"/>
      <c r="N92" s="110">
        <v>4</v>
      </c>
      <c r="O92" s="110">
        <v>4</v>
      </c>
      <c r="P92" s="110"/>
      <c r="Q92" s="110"/>
      <c r="R92" s="110">
        <v>4</v>
      </c>
      <c r="S92" s="110">
        <v>4</v>
      </c>
      <c r="T92" s="110">
        <v>16</v>
      </c>
      <c r="U92" s="110">
        <v>2</v>
      </c>
      <c r="V92" s="166">
        <v>18</v>
      </c>
      <c r="W92" s="106"/>
      <c r="X92" s="109" t="s">
        <v>373</v>
      </c>
      <c r="Y92" s="110"/>
      <c r="Z92" s="110"/>
      <c r="AA92" s="106" t="s">
        <v>313</v>
      </c>
      <c r="AB92" s="106" t="s">
        <v>313</v>
      </c>
      <c r="AC92" s="106" t="s">
        <v>314</v>
      </c>
      <c r="AD92" s="106" t="s">
        <v>310</v>
      </c>
      <c r="AE92" s="106" t="s">
        <v>315</v>
      </c>
      <c r="AF92" s="106" t="s">
        <v>316</v>
      </c>
      <c r="AG92" s="106"/>
      <c r="AH92" s="106"/>
      <c r="AI92" s="106"/>
      <c r="AJ92" s="106"/>
      <c r="AK92" s="106"/>
      <c r="AL92" s="106"/>
    </row>
    <row r="93" spans="1:38" ht="16" x14ac:dyDescent="0.2">
      <c r="A93" s="66"/>
      <c r="B93" s="66"/>
      <c r="C93" s="66"/>
      <c r="D93" s="66"/>
      <c r="E93" s="115"/>
      <c r="F93" s="115"/>
      <c r="G93" s="116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8"/>
      <c r="W93" s="66"/>
      <c r="X93" s="66"/>
      <c r="Y93" s="117"/>
      <c r="Z93" s="117"/>
      <c r="AA93" s="66"/>
      <c r="AB93" s="66"/>
      <c r="AC93" s="117"/>
      <c r="AD93" s="66"/>
      <c r="AE93" s="66"/>
      <c r="AF93" s="117"/>
      <c r="AG93" s="66"/>
      <c r="AH93" s="66"/>
      <c r="AI93" s="66"/>
      <c r="AJ93" s="66"/>
      <c r="AK93" s="66"/>
      <c r="AL93" s="66"/>
    </row>
    <row r="94" spans="1:38" ht="16" x14ac:dyDescent="0.2">
      <c r="A94" s="105">
        <v>46104.461654629602</v>
      </c>
      <c r="B94" s="106" t="s">
        <v>155</v>
      </c>
      <c r="C94" s="106">
        <v>35</v>
      </c>
      <c r="D94" s="107" t="s">
        <v>156</v>
      </c>
      <c r="E94" s="108"/>
      <c r="F94" s="108" t="s">
        <v>374</v>
      </c>
      <c r="G94" s="109" t="s">
        <v>375</v>
      </c>
      <c r="H94" s="110">
        <v>4</v>
      </c>
      <c r="I94" s="110">
        <v>4</v>
      </c>
      <c r="J94" s="110">
        <v>4</v>
      </c>
      <c r="K94" s="110">
        <v>4</v>
      </c>
      <c r="L94" s="110">
        <v>4</v>
      </c>
      <c r="M94" s="110">
        <v>4</v>
      </c>
      <c r="N94" s="110"/>
      <c r="O94" s="110"/>
      <c r="P94" s="110"/>
      <c r="Q94" s="110"/>
      <c r="R94" s="110"/>
      <c r="S94" s="110"/>
      <c r="T94" s="110">
        <v>4</v>
      </c>
      <c r="U94" s="110">
        <v>2</v>
      </c>
      <c r="V94" s="111">
        <v>30</v>
      </c>
      <c r="W94" s="106"/>
      <c r="X94" s="109" t="s">
        <v>375</v>
      </c>
      <c r="Y94" s="110"/>
      <c r="Z94" s="110"/>
      <c r="AA94" s="106" t="s">
        <v>159</v>
      </c>
      <c r="AB94" s="106" t="s">
        <v>160</v>
      </c>
      <c r="AC94" s="110" t="s">
        <v>161</v>
      </c>
      <c r="AD94" s="106" t="s">
        <v>155</v>
      </c>
      <c r="AE94" s="106" t="s">
        <v>162</v>
      </c>
      <c r="AF94" s="110" t="s">
        <v>163</v>
      </c>
      <c r="AG94" s="106"/>
      <c r="AH94" s="106"/>
      <c r="AI94" s="106"/>
      <c r="AJ94" s="106"/>
      <c r="AK94" s="106"/>
      <c r="AL94" s="106"/>
    </row>
    <row r="95" spans="1:38" ht="16" x14ac:dyDescent="0.2">
      <c r="A95" s="66"/>
      <c r="B95" s="66"/>
      <c r="C95" s="66"/>
      <c r="D95" s="66"/>
      <c r="E95" s="115"/>
      <c r="F95" s="115"/>
      <c r="G95" s="116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8"/>
      <c r="W95" s="66"/>
      <c r="X95" s="66"/>
      <c r="Y95" s="117"/>
      <c r="Z95" s="117"/>
      <c r="AA95" s="66"/>
      <c r="AB95" s="66"/>
      <c r="AC95" s="117"/>
      <c r="AD95" s="66"/>
      <c r="AE95" s="66"/>
      <c r="AF95" s="117"/>
      <c r="AG95" s="66"/>
      <c r="AH95" s="66"/>
      <c r="AI95" s="66"/>
      <c r="AJ95" s="66"/>
      <c r="AK95" s="66"/>
      <c r="AL95" s="66"/>
    </row>
    <row r="96" spans="1:38" ht="16" x14ac:dyDescent="0.2">
      <c r="A96" s="105">
        <v>46104.330537766204</v>
      </c>
      <c r="B96" s="106" t="s">
        <v>147</v>
      </c>
      <c r="C96" s="106">
        <v>36</v>
      </c>
      <c r="D96" s="107" t="s">
        <v>148</v>
      </c>
      <c r="E96" s="108"/>
      <c r="F96" s="108" t="s">
        <v>149</v>
      </c>
      <c r="G96" s="109"/>
      <c r="H96" s="110">
        <v>4</v>
      </c>
      <c r="I96" s="110">
        <v>4</v>
      </c>
      <c r="J96" s="110">
        <v>4</v>
      </c>
      <c r="K96" s="110">
        <v>4</v>
      </c>
      <c r="L96" s="110">
        <v>4</v>
      </c>
      <c r="M96" s="110">
        <v>4</v>
      </c>
      <c r="N96" s="110"/>
      <c r="O96" s="110"/>
      <c r="P96" s="110"/>
      <c r="Q96" s="110"/>
      <c r="R96" s="110"/>
      <c r="S96" s="110"/>
      <c r="T96" s="110"/>
      <c r="U96" s="110">
        <v>2</v>
      </c>
      <c r="V96" s="111">
        <v>26</v>
      </c>
      <c r="W96" s="106"/>
      <c r="X96" s="108" t="s">
        <v>149</v>
      </c>
      <c r="Y96" s="110">
        <v>154</v>
      </c>
      <c r="Z96" s="110" t="s">
        <v>376</v>
      </c>
      <c r="AA96" s="106" t="s">
        <v>150</v>
      </c>
      <c r="AB96" s="106" t="s">
        <v>151</v>
      </c>
      <c r="AC96" s="110">
        <v>3478192818</v>
      </c>
      <c r="AD96" s="106" t="s">
        <v>152</v>
      </c>
      <c r="AE96" s="106" t="s">
        <v>153</v>
      </c>
      <c r="AF96" s="110" t="s">
        <v>154</v>
      </c>
      <c r="AG96" s="106"/>
      <c r="AH96" s="106"/>
      <c r="AI96" s="106"/>
      <c r="AJ96" s="106"/>
      <c r="AK96" s="106"/>
      <c r="AL96" s="106"/>
    </row>
    <row r="97" spans="1:38" ht="16" x14ac:dyDescent="0.2">
      <c r="A97" s="105">
        <v>46106.361074722197</v>
      </c>
      <c r="B97" s="106" t="s">
        <v>140</v>
      </c>
      <c r="C97" s="106">
        <v>37</v>
      </c>
      <c r="D97" s="107" t="s">
        <v>141</v>
      </c>
      <c r="E97" s="108"/>
      <c r="F97" s="108" t="s">
        <v>142</v>
      </c>
      <c r="G97" s="109"/>
      <c r="H97" s="110">
        <v>4</v>
      </c>
      <c r="I97" s="110">
        <v>4</v>
      </c>
      <c r="J97" s="110">
        <v>4</v>
      </c>
      <c r="K97" s="110">
        <v>4</v>
      </c>
      <c r="L97" s="110"/>
      <c r="M97" s="110"/>
      <c r="N97" s="110"/>
      <c r="O97" s="110"/>
      <c r="P97" s="110"/>
      <c r="Q97" s="110"/>
      <c r="R97" s="110"/>
      <c r="S97" s="110"/>
      <c r="T97" s="110"/>
      <c r="U97" s="110">
        <v>3</v>
      </c>
      <c r="V97" s="111">
        <v>23</v>
      </c>
      <c r="W97" s="106"/>
      <c r="X97" s="108" t="s">
        <v>142</v>
      </c>
      <c r="Y97" s="110">
        <v>51</v>
      </c>
      <c r="Z97" s="110">
        <v>30</v>
      </c>
      <c r="AA97" s="106" t="s">
        <v>143</v>
      </c>
      <c r="AB97" s="106" t="s">
        <v>144</v>
      </c>
      <c r="AC97" s="110">
        <v>3460299493</v>
      </c>
      <c r="AD97" s="106" t="s">
        <v>140</v>
      </c>
      <c r="AE97" s="106" t="s">
        <v>145</v>
      </c>
      <c r="AF97" s="110" t="s">
        <v>146</v>
      </c>
      <c r="AG97" s="106"/>
      <c r="AH97" s="106"/>
      <c r="AI97" s="106"/>
      <c r="AJ97" s="106"/>
      <c r="AK97" s="106"/>
      <c r="AL97" s="106"/>
    </row>
    <row r="98" spans="1:38" ht="16" x14ac:dyDescent="0.2">
      <c r="A98" s="66"/>
      <c r="B98" s="66"/>
      <c r="C98" s="66"/>
      <c r="D98" s="66"/>
      <c r="E98" s="115"/>
      <c r="F98" s="115"/>
      <c r="G98" s="116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8"/>
      <c r="W98" s="66"/>
      <c r="X98" s="66"/>
      <c r="Y98" s="117"/>
      <c r="Z98" s="117"/>
      <c r="AA98" s="66"/>
      <c r="AB98" s="66"/>
      <c r="AC98" s="117"/>
      <c r="AD98" s="66"/>
      <c r="AE98" s="66"/>
      <c r="AF98" s="117"/>
      <c r="AG98" s="66"/>
      <c r="AH98" s="66"/>
      <c r="AI98" s="66"/>
      <c r="AJ98" s="66"/>
      <c r="AK98" s="66"/>
      <c r="AL98" s="66"/>
    </row>
    <row r="99" spans="1:38" ht="16" x14ac:dyDescent="0.2">
      <c r="E99" s="95"/>
      <c r="F99" s="95"/>
      <c r="G99" s="96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167"/>
    </row>
    <row r="100" spans="1:38" ht="16" x14ac:dyDescent="0.2">
      <c r="E100" s="95"/>
      <c r="F100" s="95"/>
      <c r="G100" s="96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167"/>
    </row>
    <row r="101" spans="1:38" ht="16" x14ac:dyDescent="0.2">
      <c r="E101" s="95"/>
      <c r="F101" s="95"/>
      <c r="G101" s="96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167"/>
    </row>
    <row r="102" spans="1:38" ht="16" x14ac:dyDescent="0.2">
      <c r="E102" s="95"/>
      <c r="F102" s="95"/>
      <c r="G102" s="96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8"/>
      <c r="Y102" s="97"/>
      <c r="Z102" s="97"/>
      <c r="AC102" s="97"/>
      <c r="AF102" s="97"/>
    </row>
    <row r="103" spans="1:38" ht="16" x14ac:dyDescent="0.2">
      <c r="E103" s="95"/>
      <c r="F103" s="95"/>
      <c r="G103" s="96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8"/>
      <c r="Y103" s="97"/>
      <c r="Z103" s="97"/>
      <c r="AC103" s="97"/>
      <c r="AF103" s="97"/>
    </row>
    <row r="104" spans="1:38" ht="16" x14ac:dyDescent="0.2">
      <c r="E104" s="95"/>
      <c r="F104" s="95"/>
      <c r="G104" s="96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8"/>
      <c r="Y104" s="97"/>
      <c r="Z104" s="97"/>
      <c r="AC104" s="97"/>
      <c r="AF104" s="97"/>
    </row>
    <row r="105" spans="1:38" ht="16" x14ac:dyDescent="0.2">
      <c r="E105" s="95"/>
      <c r="F105" s="95"/>
      <c r="G105" s="96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8"/>
      <c r="Y105" s="97"/>
      <c r="Z105" s="97"/>
      <c r="AC105" s="97"/>
      <c r="AF105" s="97"/>
    </row>
    <row r="106" spans="1:38" ht="16" x14ac:dyDescent="0.2">
      <c r="E106" s="95"/>
      <c r="F106" s="95"/>
      <c r="G106" s="96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8"/>
      <c r="Y106" s="97"/>
      <c r="Z106" s="97"/>
      <c r="AC106" s="97"/>
      <c r="AF106" s="97"/>
    </row>
    <row r="107" spans="1:38" ht="16" x14ac:dyDescent="0.2">
      <c r="E107" s="95"/>
      <c r="F107" s="95"/>
      <c r="G107" s="96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8"/>
      <c r="Y107" s="97"/>
      <c r="Z107" s="97"/>
      <c r="AC107" s="97"/>
      <c r="AF107" s="97"/>
    </row>
    <row r="108" spans="1:38" ht="16" x14ac:dyDescent="0.2">
      <c r="E108" s="95"/>
      <c r="F108" s="95"/>
      <c r="G108" s="96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8"/>
      <c r="Y108" s="97"/>
      <c r="Z108" s="97"/>
      <c r="AC108" s="97"/>
      <c r="AF108" s="97"/>
    </row>
    <row r="109" spans="1:38" ht="16" x14ac:dyDescent="0.2">
      <c r="E109" s="95"/>
      <c r="F109" s="95"/>
      <c r="G109" s="96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8"/>
      <c r="Y109" s="97"/>
      <c r="Z109" s="97"/>
      <c r="AC109" s="97"/>
      <c r="AF109" s="97"/>
    </row>
    <row r="110" spans="1:38" ht="16" x14ac:dyDescent="0.2">
      <c r="E110" s="95"/>
      <c r="F110" s="95"/>
      <c r="G110" s="96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8"/>
      <c r="Y110" s="97"/>
      <c r="Z110" s="97"/>
      <c r="AC110" s="97"/>
      <c r="AF110" s="97"/>
    </row>
    <row r="111" spans="1:38" ht="16" x14ac:dyDescent="0.2">
      <c r="E111" s="95"/>
      <c r="F111" s="95"/>
      <c r="G111" s="96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8"/>
      <c r="Y111" s="97"/>
      <c r="Z111" s="97"/>
      <c r="AC111" s="97"/>
      <c r="AF111" s="97"/>
    </row>
    <row r="112" spans="1:38" ht="16" x14ac:dyDescent="0.2">
      <c r="E112" s="95"/>
      <c r="F112" s="95"/>
      <c r="G112" s="96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8"/>
      <c r="Y112" s="97"/>
      <c r="Z112" s="97"/>
      <c r="AC112" s="97"/>
      <c r="AF112" s="97"/>
    </row>
    <row r="113" spans="5:32" ht="16" x14ac:dyDescent="0.2">
      <c r="E113" s="95"/>
      <c r="F113" s="95"/>
      <c r="G113" s="96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8"/>
      <c r="Y113" s="97"/>
      <c r="Z113" s="97"/>
      <c r="AC113" s="97"/>
      <c r="AF113" s="97"/>
    </row>
    <row r="114" spans="5:32" ht="16" x14ac:dyDescent="0.2">
      <c r="E114" s="95"/>
      <c r="F114" s="95"/>
      <c r="G114" s="96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8"/>
      <c r="Y114" s="97"/>
      <c r="Z114" s="97"/>
      <c r="AC114" s="97"/>
      <c r="AF114" s="97"/>
    </row>
    <row r="115" spans="5:32" ht="16" x14ac:dyDescent="0.2">
      <c r="E115" s="95"/>
      <c r="F115" s="95"/>
      <c r="G115" s="96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8"/>
      <c r="Y115" s="97"/>
      <c r="Z115" s="97"/>
      <c r="AC115" s="97"/>
      <c r="AF115" s="97"/>
    </row>
    <row r="116" spans="5:32" ht="16" x14ac:dyDescent="0.2">
      <c r="E116" s="95"/>
      <c r="F116" s="95"/>
      <c r="G116" s="96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8"/>
      <c r="Y116" s="97"/>
      <c r="Z116" s="97"/>
      <c r="AC116" s="97"/>
      <c r="AF116" s="97"/>
    </row>
    <row r="117" spans="5:32" ht="16" x14ac:dyDescent="0.2">
      <c r="E117" s="95"/>
      <c r="F117" s="95"/>
      <c r="G117" s="96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8"/>
      <c r="Y117" s="97"/>
      <c r="Z117" s="97"/>
      <c r="AC117" s="97"/>
      <c r="AF117" s="97"/>
    </row>
    <row r="118" spans="5:32" ht="16" x14ac:dyDescent="0.2">
      <c r="E118" s="95"/>
      <c r="F118" s="95"/>
      <c r="G118" s="96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8"/>
      <c r="Y118" s="97"/>
      <c r="Z118" s="97"/>
      <c r="AC118" s="97"/>
      <c r="AF118" s="97"/>
    </row>
    <row r="119" spans="5:32" ht="16" x14ac:dyDescent="0.2">
      <c r="E119" s="95"/>
      <c r="F119" s="95"/>
      <c r="G119" s="96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8"/>
      <c r="Y119" s="97"/>
      <c r="Z119" s="97"/>
      <c r="AC119" s="97"/>
      <c r="AF119" s="97"/>
    </row>
    <row r="120" spans="5:32" ht="16" x14ac:dyDescent="0.2">
      <c r="E120" s="95"/>
      <c r="F120" s="95"/>
      <c r="G120" s="96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8"/>
      <c r="Y120" s="97"/>
      <c r="Z120" s="97"/>
      <c r="AC120" s="97"/>
      <c r="AF120" s="97"/>
    </row>
    <row r="121" spans="5:32" ht="16" x14ac:dyDescent="0.2">
      <c r="E121" s="95"/>
      <c r="F121" s="95"/>
      <c r="G121" s="96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8"/>
      <c r="Y121" s="97"/>
      <c r="Z121" s="97"/>
      <c r="AC121" s="97"/>
      <c r="AF121" s="97"/>
    </row>
    <row r="122" spans="5:32" ht="16" x14ac:dyDescent="0.2">
      <c r="E122" s="95"/>
      <c r="F122" s="95"/>
      <c r="G122" s="96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8"/>
      <c r="Y122" s="97"/>
      <c r="Z122" s="97"/>
      <c r="AC122" s="97"/>
      <c r="AF122" s="97"/>
    </row>
    <row r="123" spans="5:32" ht="16" x14ac:dyDescent="0.2">
      <c r="E123" s="95"/>
      <c r="F123" s="95"/>
      <c r="G123" s="96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8"/>
      <c r="Y123" s="97"/>
      <c r="Z123" s="97"/>
      <c r="AC123" s="97"/>
      <c r="AF123" s="97"/>
    </row>
    <row r="124" spans="5:32" ht="16" x14ac:dyDescent="0.2">
      <c r="E124" s="95"/>
      <c r="F124" s="95"/>
      <c r="G124" s="96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8"/>
      <c r="Y124" s="97"/>
      <c r="Z124" s="97"/>
      <c r="AC124" s="97"/>
      <c r="AF124" s="97"/>
    </row>
    <row r="125" spans="5:32" ht="16" x14ac:dyDescent="0.2">
      <c r="E125" s="95"/>
      <c r="F125" s="95"/>
      <c r="G125" s="96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8"/>
      <c r="Y125" s="97"/>
      <c r="Z125" s="97"/>
      <c r="AC125" s="97"/>
      <c r="AF125" s="97"/>
    </row>
    <row r="126" spans="5:32" ht="16" x14ac:dyDescent="0.2">
      <c r="E126" s="95"/>
      <c r="F126" s="95"/>
      <c r="G126" s="96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8"/>
      <c r="Y126" s="97"/>
      <c r="Z126" s="97"/>
      <c r="AC126" s="97"/>
      <c r="AF126" s="97"/>
    </row>
    <row r="127" spans="5:32" ht="16" x14ac:dyDescent="0.2">
      <c r="E127" s="95"/>
      <c r="F127" s="95"/>
      <c r="G127" s="96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8"/>
      <c r="Y127" s="97"/>
      <c r="Z127" s="97"/>
      <c r="AC127" s="97"/>
      <c r="AF127" s="97"/>
    </row>
    <row r="128" spans="5:32" ht="16" x14ac:dyDescent="0.2">
      <c r="E128" s="95"/>
      <c r="F128" s="95"/>
      <c r="G128" s="96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8"/>
      <c r="Y128" s="97"/>
      <c r="Z128" s="97"/>
      <c r="AC128" s="97"/>
      <c r="AF128" s="97"/>
    </row>
    <row r="129" spans="5:32" ht="16" x14ac:dyDescent="0.2">
      <c r="E129" s="95"/>
      <c r="F129" s="95"/>
      <c r="G129" s="96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8"/>
      <c r="Y129" s="97"/>
      <c r="Z129" s="97"/>
      <c r="AC129" s="97"/>
      <c r="AF129" s="97"/>
    </row>
    <row r="130" spans="5:32" ht="16" x14ac:dyDescent="0.2">
      <c r="E130" s="95"/>
      <c r="F130" s="95"/>
      <c r="G130" s="96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8"/>
      <c r="Y130" s="97"/>
      <c r="Z130" s="97"/>
      <c r="AC130" s="97"/>
      <c r="AF130" s="97"/>
    </row>
    <row r="131" spans="5:32" ht="16" x14ac:dyDescent="0.2">
      <c r="E131" s="95"/>
      <c r="F131" s="95"/>
      <c r="G131" s="96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8"/>
      <c r="Y131" s="97"/>
      <c r="Z131" s="97"/>
      <c r="AC131" s="97"/>
      <c r="AF131" s="97"/>
    </row>
    <row r="132" spans="5:32" ht="16" x14ac:dyDescent="0.2">
      <c r="E132" s="95"/>
      <c r="F132" s="95"/>
      <c r="G132" s="96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8"/>
      <c r="Y132" s="97"/>
      <c r="Z132" s="97"/>
      <c r="AC132" s="97"/>
      <c r="AF132" s="97"/>
    </row>
    <row r="133" spans="5:32" ht="16" x14ac:dyDescent="0.2">
      <c r="E133" s="95"/>
      <c r="F133" s="95"/>
      <c r="G133" s="96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8"/>
      <c r="Y133" s="97"/>
      <c r="Z133" s="97"/>
      <c r="AC133" s="97"/>
      <c r="AF133" s="97"/>
    </row>
    <row r="134" spans="5:32" ht="16" x14ac:dyDescent="0.2">
      <c r="E134" s="95"/>
      <c r="F134" s="95"/>
      <c r="G134" s="96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8"/>
      <c r="Y134" s="97"/>
      <c r="Z134" s="97"/>
      <c r="AC134" s="97"/>
      <c r="AF134" s="97"/>
    </row>
    <row r="135" spans="5:32" ht="16" x14ac:dyDescent="0.2">
      <c r="E135" s="95"/>
      <c r="F135" s="95"/>
      <c r="G135" s="96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8"/>
      <c r="Y135" s="97"/>
      <c r="Z135" s="97"/>
      <c r="AC135" s="97"/>
      <c r="AF135" s="97"/>
    </row>
    <row r="136" spans="5:32" ht="16" x14ac:dyDescent="0.2">
      <c r="E136" s="95"/>
      <c r="F136" s="95"/>
      <c r="G136" s="96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8"/>
      <c r="Y136" s="97"/>
      <c r="Z136" s="97"/>
      <c r="AC136" s="97"/>
      <c r="AF136" s="97"/>
    </row>
    <row r="137" spans="5:32" ht="16" x14ac:dyDescent="0.2">
      <c r="E137" s="95"/>
      <c r="F137" s="95"/>
      <c r="G137" s="96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8"/>
      <c r="Y137" s="97"/>
      <c r="Z137" s="97"/>
      <c r="AC137" s="97"/>
      <c r="AF137" s="97"/>
    </row>
    <row r="138" spans="5:32" ht="16" x14ac:dyDescent="0.2">
      <c r="E138" s="95"/>
      <c r="F138" s="95"/>
      <c r="G138" s="96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8"/>
      <c r="Y138" s="97"/>
      <c r="Z138" s="97"/>
      <c r="AC138" s="97"/>
      <c r="AF138" s="97"/>
    </row>
    <row r="139" spans="5:32" ht="16" x14ac:dyDescent="0.2">
      <c r="E139" s="95"/>
      <c r="F139" s="95"/>
      <c r="G139" s="96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8"/>
      <c r="Y139" s="97"/>
      <c r="Z139" s="97"/>
      <c r="AC139" s="97"/>
      <c r="AF139" s="97"/>
    </row>
    <row r="140" spans="5:32" ht="16" x14ac:dyDescent="0.2">
      <c r="E140" s="95"/>
      <c r="F140" s="95"/>
      <c r="G140" s="96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8"/>
      <c r="Y140" s="97"/>
      <c r="Z140" s="97"/>
      <c r="AC140" s="97"/>
      <c r="AF140" s="97"/>
    </row>
    <row r="141" spans="5:32" ht="16" x14ac:dyDescent="0.2">
      <c r="E141" s="95"/>
      <c r="F141" s="95"/>
      <c r="G141" s="96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8"/>
      <c r="Y141" s="97"/>
      <c r="Z141" s="97"/>
      <c r="AC141" s="97"/>
      <c r="AF141" s="97"/>
    </row>
    <row r="142" spans="5:32" ht="16" x14ac:dyDescent="0.2">
      <c r="E142" s="95"/>
      <c r="F142" s="95"/>
      <c r="G142" s="96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8"/>
      <c r="Y142" s="97"/>
      <c r="Z142" s="97"/>
      <c r="AC142" s="97"/>
      <c r="AF142" s="97"/>
    </row>
    <row r="143" spans="5:32" ht="16" x14ac:dyDescent="0.2">
      <c r="E143" s="95"/>
      <c r="F143" s="95"/>
      <c r="G143" s="96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8"/>
      <c r="Y143" s="97"/>
      <c r="Z143" s="97"/>
      <c r="AC143" s="97"/>
      <c r="AF143" s="97"/>
    </row>
    <row r="144" spans="5:32" ht="16" x14ac:dyDescent="0.2">
      <c r="E144" s="95"/>
      <c r="F144" s="95"/>
      <c r="G144" s="96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8"/>
      <c r="Y144" s="97"/>
      <c r="Z144" s="97"/>
      <c r="AC144" s="97"/>
      <c r="AF144" s="97"/>
    </row>
    <row r="145" spans="5:32" ht="16" x14ac:dyDescent="0.2">
      <c r="E145" s="95"/>
      <c r="F145" s="95"/>
      <c r="G145" s="96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8"/>
      <c r="Y145" s="97"/>
      <c r="Z145" s="97"/>
      <c r="AC145" s="97"/>
      <c r="AF145" s="97"/>
    </row>
    <row r="146" spans="5:32" ht="16" x14ac:dyDescent="0.2">
      <c r="E146" s="95"/>
      <c r="F146" s="95"/>
      <c r="G146" s="96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8"/>
      <c r="Y146" s="97"/>
      <c r="Z146" s="97"/>
      <c r="AC146" s="97"/>
      <c r="AF146" s="97"/>
    </row>
    <row r="147" spans="5:32" ht="16" x14ac:dyDescent="0.2">
      <c r="E147" s="95"/>
      <c r="F147" s="95"/>
      <c r="G147" s="96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8"/>
      <c r="Y147" s="97"/>
      <c r="Z147" s="97"/>
      <c r="AC147" s="97"/>
      <c r="AF147" s="97"/>
    </row>
    <row r="148" spans="5:32" ht="16" x14ac:dyDescent="0.2">
      <c r="E148" s="95"/>
      <c r="F148" s="95"/>
      <c r="G148" s="96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8"/>
      <c r="Y148" s="97"/>
      <c r="Z148" s="97"/>
      <c r="AC148" s="97"/>
      <c r="AF148" s="97"/>
    </row>
    <row r="149" spans="5:32" ht="16" x14ac:dyDescent="0.2">
      <c r="E149" s="95"/>
      <c r="F149" s="95"/>
      <c r="G149" s="96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8"/>
      <c r="Y149" s="97"/>
      <c r="Z149" s="97"/>
      <c r="AC149" s="97"/>
      <c r="AF149" s="97"/>
    </row>
  </sheetData>
  <printOptions horizontalCentered="1" gridLines="1"/>
  <pageMargins left="0.7" right="0.7" top="0.75" bottom="0.75" header="0.511811023622047" footer="0.511811023622047"/>
  <pageSetup paperSize="8" fitToHeight="0" pageOrder="overThenDown" orientation="landscape" horizontalDpi="300" verticalDpi="300"/>
  <tableParts count="3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 Vidi, Alessandro</cp:lastModifiedBy>
  <cp:revision>1</cp:revision>
  <dcterms:modified xsi:type="dcterms:W3CDTF">2026-03-31T17:00:34Z</dcterms:modified>
  <dc:language>it-IT</dc:language>
</cp:coreProperties>
</file>